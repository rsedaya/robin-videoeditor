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ashboard" sheetId="2" state="visible" r:id="rId4"/>
    <sheet name="Production Plan" sheetId="3" state="visible" r:id="rId5"/>
    <sheet name="Daily Output" sheetId="4" state="visible" r:id="rId6"/>
    <sheet name="Machine Schedule" sheetId="5" state="visible" r:id="rId7"/>
    <sheet name="Material Request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<sst xmlns="http://schemas.openxmlformats.org/spreadsheetml/2006/main" count="182" uniqueCount="100">
  <si>
    <t xml:space="preserve">Production Planning Workbook - SAMPLE (Fictional Data)</t>
  </si>
  <si>
    <t xml:space="preserve">Purpose: portfolio sample showing production planning, output tracking, machine scheduling and material requests.</t>
  </si>
  <si>
    <t xml:space="preserve">All data is fictional. Model names, customers, quantities and dates are made up and do not come from any real company.</t>
  </si>
  <si>
    <t xml:space="preserve">Sheets</t>
  </si>
  <si>
    <t xml:space="preserve">  Production Plan  - shipment requirements converted into lots to start, with start-by dates and status.</t>
  </si>
  <si>
    <t xml:space="preserve">  Daily Output     - target vs actual output per process, variance, attainment % and productivity per operator.</t>
  </si>
  <si>
    <t xml:space="preserve">  Machine Schedule - chained machine jobs: run time, start and finish times with setup time between jobs.</t>
  </si>
  <si>
    <t xml:space="preserve">  Material Request - lots requested vs raw material available, net lots to request.</t>
  </si>
  <si>
    <t xml:space="preserve">  Dashboard        - KPI summary and attainment trend chart, all formula-driven.</t>
  </si>
  <si>
    <t xml:space="preserve">Legend</t>
  </si>
  <si>
    <t xml:space="preserve">  Blue text on yellow fill = input cell you can change. Black text = formula. Green text = link from another sheet.</t>
  </si>
  <si>
    <t xml:space="preserve">  Change an input (for example Expected Yield or Lead Time) and every dependent number updates.</t>
  </si>
  <si>
    <t xml:space="preserve">Example input cell:</t>
  </si>
  <si>
    <t xml:space="preserve">Production Dashboard - October 2026 (Sample)</t>
  </si>
  <si>
    <t xml:space="preserve">Process</t>
  </si>
  <si>
    <t xml:space="preserve">Total Target (pcs)</t>
  </si>
  <si>
    <t xml:space="preserve">Total Actual (pcs)</t>
  </si>
  <si>
    <t xml:space="preserve">Attainment %</t>
  </si>
  <si>
    <t xml:space="preserve">Avg Output per Operator</t>
  </si>
  <si>
    <t xml:space="preserve">Days Below 90%</t>
  </si>
  <si>
    <t xml:space="preserve">Shipment Plan KPIs</t>
  </si>
  <si>
    <t xml:space="preserve">First Process</t>
  </si>
  <si>
    <t xml:space="preserve">Total shipment qty (pcs)</t>
  </si>
  <si>
    <t xml:space="preserve">Washing</t>
  </si>
  <si>
    <t xml:space="preserve">Total lots to start</t>
  </si>
  <si>
    <t xml:space="preserve">ALL PROCESSES</t>
  </si>
  <si>
    <t xml:space="preserve">Models to start now</t>
  </si>
  <si>
    <t xml:space="preserve">Net lots to request (material)</t>
  </si>
  <si>
    <t xml:space="preserve">Daily attainment % by process (chart data)</t>
  </si>
  <si>
    <t xml:space="preserve">Date</t>
  </si>
  <si>
    <t xml:space="preserve">All figures on this sheet are formulas linked to the other sheets (fictional sample data).</t>
  </si>
  <si>
    <t xml:space="preserve">Production Plan - Shipment Requirements (Sample)</t>
  </si>
  <si>
    <t xml:space="preserve">Process lead time (days)</t>
  </si>
  <si>
    <t xml:space="preserve">Assumption: days of processing needed before shipment (sample value).</t>
  </si>
  <si>
    <t xml:space="preserve">Plan date</t>
  </si>
  <si>
    <t xml:space="preserve">Model</t>
  </si>
  <si>
    <t xml:space="preserve">Customer</t>
  </si>
  <si>
    <t xml:space="preserve">Shipment Date</t>
  </si>
  <si>
    <t xml:space="preserve">Shipment Qty (pcs)</t>
  </si>
  <si>
    <t xml:space="preserve">Pcs per Lot</t>
  </si>
  <si>
    <t xml:space="preserve">Lots Required</t>
  </si>
  <si>
    <t xml:space="preserve">Expected Yield</t>
  </si>
  <si>
    <t xml:space="preserve">Lots to Start</t>
  </si>
  <si>
    <t xml:space="preserve">Start By</t>
  </si>
  <si>
    <t xml:space="preserve">Status</t>
  </si>
  <si>
    <t xml:space="preserve">MDL-A101</t>
  </si>
  <si>
    <t xml:space="preserve">Customer A</t>
  </si>
  <si>
    <t xml:space="preserve">MDL-A102</t>
  </si>
  <si>
    <t xml:space="preserve">MDL-B210</t>
  </si>
  <si>
    <t xml:space="preserve">Customer B</t>
  </si>
  <si>
    <t xml:space="preserve">MDL-B215</t>
  </si>
  <si>
    <t xml:space="preserve">MDL-C305</t>
  </si>
  <si>
    <t xml:space="preserve">Customer C</t>
  </si>
  <si>
    <t xml:space="preserve">MDL-C312</t>
  </si>
  <si>
    <t xml:space="preserve">MDL-D420</t>
  </si>
  <si>
    <t xml:space="preserve">Customer D</t>
  </si>
  <si>
    <t xml:space="preserve">MDL-D433</t>
  </si>
  <si>
    <t xml:space="preserve">MDL-E510</t>
  </si>
  <si>
    <t xml:space="preserve">Customer E</t>
  </si>
  <si>
    <t xml:space="preserve">MDL-E525</t>
  </si>
  <si>
    <t xml:space="preserve">MDL-F601</t>
  </si>
  <si>
    <t xml:space="preserve">Customer F</t>
  </si>
  <si>
    <t xml:space="preserve">MDL-F618</t>
  </si>
  <si>
    <t xml:space="preserve">TOTAL</t>
  </si>
  <si>
    <t xml:space="preserve">Logic: Lots Required = Shipment Qty / Pcs per Lot (rounded up). Lots to Start = Lots Required / Expected Yield (rounded up) to cover process loss.</t>
  </si>
  <si>
    <t xml:space="preserve">Start By = Shipment Date minus lead time. Status compares dates with the Plan date in B4.</t>
  </si>
  <si>
    <t xml:space="preserve">Daily Actual Output - October 2026 (Sample)</t>
  </si>
  <si>
    <t xml:space="preserve">Target and actual are fictional. Edit blue cells; variance, attainment and productivity recalculate.</t>
  </si>
  <si>
    <t xml:space="preserve">Target (pcs)</t>
  </si>
  <si>
    <t xml:space="preserve">Actual (pcs)</t>
  </si>
  <si>
    <t xml:space="preserve">Variance (pcs)</t>
  </si>
  <si>
    <t xml:space="preserve">Operators</t>
  </si>
  <si>
    <t xml:space="preserve">Output per Operator</t>
  </si>
  <si>
    <t xml:space="preserve">Machine Schedule - Week of Oct 29, 2026 (Sample)</t>
  </si>
  <si>
    <t xml:space="preserve">Setup time between jobs (hrs)</t>
  </si>
  <si>
    <t xml:space="preserve">Assumption: fixed changeover time added after each job (sample value).</t>
  </si>
  <si>
    <t xml:space="preserve">Machine</t>
  </si>
  <si>
    <t xml:space="preserve">Lots</t>
  </si>
  <si>
    <t xml:space="preserve">Hours per Lot</t>
  </si>
  <si>
    <t xml:space="preserve">Run Time (hrs)</t>
  </si>
  <si>
    <t xml:space="preserve">Start</t>
  </si>
  <si>
    <t xml:space="preserve">Finish</t>
  </si>
  <si>
    <t xml:space="preserve">GRIND-01</t>
  </si>
  <si>
    <t xml:space="preserve">GRIND-02</t>
  </si>
  <si>
    <t xml:space="preserve">CHAMFER-01</t>
  </si>
  <si>
    <t xml:space="preserve">Logic: Run Time = Lots x Hours per Lot. Each job starts after the previous one finishes plus setup time (B3). First job per machine start is an input.</t>
  </si>
  <si>
    <t xml:space="preserve">Material Request Summary (Sample)</t>
  </si>
  <si>
    <t xml:space="preserve">BOM Code</t>
  </si>
  <si>
    <t xml:space="preserve">Lots Requested</t>
  </si>
  <si>
    <t xml:space="preserve">RM Lots Available</t>
  </si>
  <si>
    <t xml:space="preserve">Net Lots to Request</t>
  </si>
  <si>
    <t xml:space="preserve">Net Pcs to Request</t>
  </si>
  <si>
    <t xml:space="preserve">Link: Lots to Start</t>
  </si>
  <si>
    <t xml:space="preserve">BOM-1001</t>
  </si>
  <si>
    <t xml:space="preserve">BOM-1002</t>
  </si>
  <si>
    <t xml:space="preserve">BOM-2101</t>
  </si>
  <si>
    <t xml:space="preserve">BOM-2150</t>
  </si>
  <si>
    <t xml:space="preserve">BOM-3050</t>
  </si>
  <si>
    <t xml:space="preserve">BOM-3120</t>
  </si>
  <si>
    <t xml:space="preserve">Logic: Net Lots = Lots Requested minus RM Lots Available (never below zero). Last column pulls Lots to Start from the Production Plan for comparison.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</si>
</sst>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%"/>
    <numFmt numFmtId="166" formatCode="#,##0"/>
    <numFmt numFmtId="167" formatCode="0.0%"/>
    <numFmt numFmtId="168" formatCode="0"/>
    <numFmt numFmtId="169" formatCode="mm/dd"/>
    <numFmt numFmtId="170" formatCode="mm/dd/yy"/>
    <numFmt numFmtId="171" formatCode="#,##0;[RED]\(#,##0\);\-"/>
    <numFmt numFmtId="172" formatCode="0.0"/>
    <numFmt numFmtId="173" formatCode="mm/dd/yy\ hh:mm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1F3864"/>
        <bgColor rgb="FF333333"/>
      </patternFill>
    </fill>
    <fill>
      <patternFill patternType="solid">
        <fgColor rgb="FFD9E1F2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Daily Attainment % by Process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Dashboard!B10</c:f>
              <c:strCache>
                <c:ptCount val="1"/>
                <c:pt idx="0">
                  <c:v>First Process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Dashboard!$A$11:$A$30</c:f>
              <c:strCache>
                <c:ptCount val="20"/>
                <c:pt idx="0">
                  <c:v>10/01</c:v>
                </c:pt>
                <c:pt idx="1">
                  <c:v>10/02</c:v>
                </c:pt>
                <c:pt idx="2">
                  <c:v>10/05</c:v>
                </c:pt>
                <c:pt idx="3">
                  <c:v>10/06</c:v>
                </c:pt>
                <c:pt idx="4">
                  <c:v>10/07</c:v>
                </c:pt>
                <c:pt idx="5">
                  <c:v>10/08</c:v>
                </c:pt>
                <c:pt idx="6">
                  <c:v>10/09</c:v>
                </c:pt>
                <c:pt idx="7">
                  <c:v>10/12</c:v>
                </c:pt>
                <c:pt idx="8">
                  <c:v>10/13</c:v>
                </c:pt>
                <c:pt idx="9">
                  <c:v>10/14</c:v>
                </c:pt>
                <c:pt idx="10">
                  <c:v>10/15</c:v>
                </c:pt>
                <c:pt idx="11">
                  <c:v>10/16</c:v>
                </c:pt>
                <c:pt idx="12">
                  <c:v>10/19</c:v>
                </c:pt>
                <c:pt idx="13">
                  <c:v>10/20</c:v>
                </c:pt>
                <c:pt idx="14">
                  <c:v>10/21</c:v>
                </c:pt>
                <c:pt idx="15">
                  <c:v>10/22</c:v>
                </c:pt>
                <c:pt idx="16">
                  <c:v>10/23</c:v>
                </c:pt>
                <c:pt idx="17">
                  <c:v>10/26</c:v>
                </c:pt>
                <c:pt idx="18">
                  <c:v>10/27</c:v>
                </c:pt>
                <c:pt idx="19">
                  <c:v>10/28</c:v>
                </c:pt>
              </c:strCache>
            </c:strRef>
          </c:cat>
          <c:val>
            <c:numRef>
              <c:f>Dashboard!$B$11:$B$30</c:f>
              <c:numCache>
                <c:formatCode>0.0%</c:formatCode>
                <c:ptCount val="20"/>
                <c:pt idx="0">
                  <c:v>0.985714285714286</c:v>
                </c:pt>
                <c:pt idx="1">
                  <c:v>0.902380952380952</c:v>
                </c:pt>
                <c:pt idx="2">
                  <c:v>1.00714285714286</c:v>
                </c:pt>
                <c:pt idx="3">
                  <c:v>1.04285714285714</c:v>
                </c:pt>
                <c:pt idx="4">
                  <c:v>0.935714285714286</c:v>
                </c:pt>
                <c:pt idx="5">
                  <c:v>0.888095238095238</c:v>
                </c:pt>
                <c:pt idx="6">
                  <c:v>0.845238095238095</c:v>
                </c:pt>
                <c:pt idx="7">
                  <c:v>0.988095238095238</c:v>
                </c:pt>
                <c:pt idx="8">
                  <c:v>0.89047619047619</c:v>
                </c:pt>
                <c:pt idx="9">
                  <c:v>1.02380952380952</c:v>
                </c:pt>
                <c:pt idx="10">
                  <c:v>1.02380952380952</c:v>
                </c:pt>
                <c:pt idx="11">
                  <c:v>0.916666666666667</c:v>
                </c:pt>
                <c:pt idx="12">
                  <c:v>1.05952380952381</c:v>
                </c:pt>
                <c:pt idx="13">
                  <c:v>0.85952380952381</c:v>
                </c:pt>
                <c:pt idx="14">
                  <c:v>1.03333333333333</c:v>
                </c:pt>
                <c:pt idx="15">
                  <c:v>1.02380952380952</c:v>
                </c:pt>
                <c:pt idx="16">
                  <c:v>0.961904761904762</c:v>
                </c:pt>
                <c:pt idx="17">
                  <c:v>0.926190476190476</c:v>
                </c:pt>
                <c:pt idx="18">
                  <c:v>1.02857142857143</c:v>
                </c:pt>
                <c:pt idx="19">
                  <c:v>1.03809523809524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Dashboard!C10</c:f>
              <c:strCache>
                <c:ptCount val="1"/>
                <c:pt idx="0">
                  <c:v>Washing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Dashboard!$A$11:$A$30</c:f>
              <c:strCache>
                <c:ptCount val="20"/>
                <c:pt idx="0">
                  <c:v>10/01</c:v>
                </c:pt>
                <c:pt idx="1">
                  <c:v>10/02</c:v>
                </c:pt>
                <c:pt idx="2">
                  <c:v>10/05</c:v>
                </c:pt>
                <c:pt idx="3">
                  <c:v>10/06</c:v>
                </c:pt>
                <c:pt idx="4">
                  <c:v>10/07</c:v>
                </c:pt>
                <c:pt idx="5">
                  <c:v>10/08</c:v>
                </c:pt>
                <c:pt idx="6">
                  <c:v>10/09</c:v>
                </c:pt>
                <c:pt idx="7">
                  <c:v>10/12</c:v>
                </c:pt>
                <c:pt idx="8">
                  <c:v>10/13</c:v>
                </c:pt>
                <c:pt idx="9">
                  <c:v>10/14</c:v>
                </c:pt>
                <c:pt idx="10">
                  <c:v>10/15</c:v>
                </c:pt>
                <c:pt idx="11">
                  <c:v>10/16</c:v>
                </c:pt>
                <c:pt idx="12">
                  <c:v>10/19</c:v>
                </c:pt>
                <c:pt idx="13">
                  <c:v>10/20</c:v>
                </c:pt>
                <c:pt idx="14">
                  <c:v>10/21</c:v>
                </c:pt>
                <c:pt idx="15">
                  <c:v>10/22</c:v>
                </c:pt>
                <c:pt idx="16">
                  <c:v>10/23</c:v>
                </c:pt>
                <c:pt idx="17">
                  <c:v>10/26</c:v>
                </c:pt>
                <c:pt idx="18">
                  <c:v>10/27</c:v>
                </c:pt>
                <c:pt idx="19">
                  <c:v>10/28</c:v>
                </c:pt>
              </c:strCache>
            </c:strRef>
          </c:cat>
          <c:val>
            <c:numRef>
              <c:f>Dashboard!$C$11:$C$30</c:f>
              <c:numCache>
                <c:formatCode>0.0%</c:formatCode>
                <c:ptCount val="20"/>
                <c:pt idx="0">
                  <c:v>0.844736842105263</c:v>
                </c:pt>
                <c:pt idx="1">
                  <c:v>0.889473684210526</c:v>
                </c:pt>
                <c:pt idx="2">
                  <c:v>0.994736842105263</c:v>
                </c:pt>
                <c:pt idx="3">
                  <c:v>0.857894736842105</c:v>
                </c:pt>
                <c:pt idx="4">
                  <c:v>0.844736842105263</c:v>
                </c:pt>
                <c:pt idx="5">
                  <c:v>0.955263157894737</c:v>
                </c:pt>
                <c:pt idx="6">
                  <c:v>0.884210526315789</c:v>
                </c:pt>
                <c:pt idx="7">
                  <c:v>0.963157894736842</c:v>
                </c:pt>
                <c:pt idx="8">
                  <c:v>0.973684210526316</c:v>
                </c:pt>
                <c:pt idx="9">
                  <c:v>0.839473684210526</c:v>
                </c:pt>
                <c:pt idx="10">
                  <c:v>1</c:v>
                </c:pt>
                <c:pt idx="11">
                  <c:v>0.873684210526316</c:v>
                </c:pt>
                <c:pt idx="12">
                  <c:v>0.915789473684211</c:v>
                </c:pt>
                <c:pt idx="13">
                  <c:v>0.860526315789474</c:v>
                </c:pt>
                <c:pt idx="14">
                  <c:v>0.976315789473684</c:v>
                </c:pt>
                <c:pt idx="15">
                  <c:v>1.00526315789474</c:v>
                </c:pt>
                <c:pt idx="16">
                  <c:v>1.06315789473684</c:v>
                </c:pt>
                <c:pt idx="17">
                  <c:v>0.965789473684211</c:v>
                </c:pt>
                <c:pt idx="18">
                  <c:v>0.981578947368421</c:v>
                </c:pt>
                <c:pt idx="19">
                  <c:v>0.971052631578947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0169959"/>
        <c:axId val="79341832"/>
      </c:lineChart>
      <c:catAx>
        <c:axId val="4016995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mm/dd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341832"/>
        <c:crosses val="autoZero"/>
        <c:auto val="1"/>
        <c:lblAlgn val="ctr"/>
        <c:lblOffset val="100"/>
        <c:noMultiLvlLbl val="0"/>
      </c:catAx>
      <c:valAx>
        <c:axId val="79341832"/>
        <c:scaling>
          <c:orientation val="minMax"/>
          <c:max val="1.15"/>
          <c:min val="0.7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Attainment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16995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8</xdr:row>
      <xdr:rowOff>160920</xdr:rowOff>
    </xdr:from>
    <xdr:to>
      <xdr:col>10</xdr:col>
      <xdr:colOff>526320</xdr:colOff>
      <xdr:row>24</xdr:row>
      <xdr:rowOff>162000</xdr:rowOff>
    </xdr:to>
    <xdr:graphicFrame>
      <xdr:nvGraphicFramePr>
        <xdr:cNvPr id="0" name="Chart 1"/>
        <xdr:cNvGraphicFramePr/>
      </xdr:nvGraphicFramePr>
      <xdr:xfrm>
        <a:off x="4651920" y="190512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  <col collapsed="false" customWidth="true" hidden="false" outlineLevel="0" max="2" min="2" style="0" width="1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3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  <row r="17" customFormat="false" ht="15" hidden="false" customHeight="false" outlineLevel="0" collapsed="false">
      <c r="A17" s="2" t="s">
        <v>12</v>
      </c>
      <c r="B17" s="4" t="n">
        <v>0.95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8"/>
    <col collapsed="false" customWidth="true" hidden="false" outlineLevel="0" max="4" min="4" style="0" width="14"/>
    <col collapsed="false" customWidth="true" hidden="false" outlineLevel="0" max="5" min="5" style="0" width="22"/>
    <col collapsed="false" customWidth="true" hidden="false" outlineLevel="0" max="6" min="6" style="0" width="15"/>
    <col collapsed="false" customWidth="true" hidden="false" outlineLevel="0" max="7" min="7" style="0" width="3"/>
    <col collapsed="false" customWidth="true" hidden="false" outlineLevel="0" max="8" min="8" style="0" width="32"/>
    <col collapsed="false" customWidth="true" hidden="false" outlineLevel="0" max="9" min="9" style="0" width="14"/>
  </cols>
  <sheetData>
    <row r="1" customFormat="false" ht="17.35" hidden="false" customHeight="false" outlineLevel="0" collapsed="false">
      <c r="A1" s="1" t="s">
        <v>13</v>
      </c>
    </row>
    <row r="3" customFormat="false" ht="30" hidden="false" customHeight="true" outlineLevel="0" collapsed="false">
      <c r="A3" s="5" t="s">
        <v>14</v>
      </c>
      <c r="B3" s="5" t="s">
        <v>15</v>
      </c>
      <c r="C3" s="5" t="s">
        <v>16</v>
      </c>
      <c r="D3" s="5" t="s">
        <v>17</v>
      </c>
      <c r="E3" s="5" t="s">
        <v>18</v>
      </c>
      <c r="F3" s="5" t="s">
        <v>19</v>
      </c>
      <c r="H3" s="3" t="s">
        <v>20</v>
      </c>
    </row>
    <row r="4" customFormat="false" ht="15" hidden="false" customHeight="false" outlineLevel="0" collapsed="false">
      <c r="A4" s="6" t="s">
        <v>21</v>
      </c>
      <c r="B4" s="7" t="n">
        <f aca="false">SUMIFS('Daily Output'!$C$5:$C$44,'Daily Output'!$B$5:$B$44,A4)</f>
        <v>840000</v>
      </c>
      <c r="C4" s="7" t="n">
        <f aca="false">SUMIFS('Daily Output'!$D$5:$D$44,'Daily Output'!$B$5:$B$44,A4)</f>
        <v>814000</v>
      </c>
      <c r="D4" s="8" t="n">
        <f aca="false">IFERROR(C4/B4,0)</f>
        <v>0.969047619047619</v>
      </c>
      <c r="E4" s="7" t="n">
        <f aca="false">AVERAGEIFS('Daily Output'!$H$5:$H$44,'Daily Output'!$B$5:$B$44,A4)</f>
        <v>3391.66666666667</v>
      </c>
      <c r="F4" s="9" t="n">
        <f aca="false">COUNTIFS('Daily Output'!$B$5:$B$44,A4,'Daily Output'!$F$5:$F$44,"&lt;0.9")</f>
        <v>4</v>
      </c>
      <c r="H4" s="6" t="s">
        <v>22</v>
      </c>
      <c r="I4" s="7" t="n">
        <f aca="false">'Production Plan'!D19</f>
        <v>477680</v>
      </c>
    </row>
    <row r="5" customFormat="false" ht="15" hidden="false" customHeight="false" outlineLevel="0" collapsed="false">
      <c r="A5" s="6" t="s">
        <v>23</v>
      </c>
      <c r="B5" s="7" t="n">
        <f aca="false">SUMIFS('Daily Output'!$C$5:$C$44,'Daily Output'!$B$5:$B$44,A5)</f>
        <v>760000</v>
      </c>
      <c r="C5" s="7" t="n">
        <f aca="false">SUMIFS('Daily Output'!$D$5:$D$44,'Daily Output'!$B$5:$B$44,A5)</f>
        <v>709100</v>
      </c>
      <c r="D5" s="8" t="n">
        <f aca="false">IFERROR(C5/B5,0)</f>
        <v>0.933026315789474</v>
      </c>
      <c r="E5" s="7" t="n">
        <f aca="false">AVERAGEIFS('Daily Output'!$H$5:$H$44,'Daily Output'!$B$5:$B$44,A5)</f>
        <v>3939.44444444444</v>
      </c>
      <c r="F5" s="9" t="n">
        <f aca="false">COUNTIFS('Daily Output'!$B$5:$B$44,A5,'Daily Output'!$F$5:$F$44,"&lt;0.9")</f>
        <v>8</v>
      </c>
      <c r="H5" s="6" t="s">
        <v>24</v>
      </c>
      <c r="I5" s="7" t="n">
        <f aca="false">'Production Plan'!H19</f>
        <v>392</v>
      </c>
    </row>
    <row r="6" customFormat="false" ht="15" hidden="false" customHeight="false" outlineLevel="0" collapsed="false">
      <c r="A6" s="10" t="s">
        <v>25</v>
      </c>
      <c r="B6" s="11" t="n">
        <f aca="false">SUM(B4:B5)</f>
        <v>1600000</v>
      </c>
      <c r="C6" s="11" t="n">
        <f aca="false">SUM(C4:C5)</f>
        <v>1523100</v>
      </c>
      <c r="D6" s="12" t="n">
        <f aca="false">IFERROR(C6/B6,0)</f>
        <v>0.9519375</v>
      </c>
      <c r="E6" s="11" t="n">
        <f aca="false">AVERAGE('Daily Output'!$H$5:$H$44)</f>
        <v>3665.55555555556</v>
      </c>
      <c r="F6" s="13" t="n">
        <f aca="false">SUM(F4:F5)</f>
        <v>12</v>
      </c>
      <c r="H6" s="6" t="s">
        <v>26</v>
      </c>
      <c r="I6" s="9" t="n">
        <f aca="false">COUNTIF('Production Plan'!J7:J18,"Start Now")</f>
        <v>2</v>
      </c>
    </row>
    <row r="7" customFormat="false" ht="15" hidden="false" customHeight="false" outlineLevel="0" collapsed="false">
      <c r="H7" s="6" t="s">
        <v>27</v>
      </c>
      <c r="I7" s="7" t="n">
        <f aca="false">'Material Request'!F10</f>
        <v>104</v>
      </c>
    </row>
    <row r="9" customFormat="false" ht="15" hidden="false" customHeight="false" outlineLevel="0" collapsed="false">
      <c r="A9" s="3" t="s">
        <v>28</v>
      </c>
    </row>
    <row r="10" customFormat="false" ht="30" hidden="false" customHeight="true" outlineLevel="0" collapsed="false">
      <c r="A10" s="5" t="s">
        <v>29</v>
      </c>
      <c r="B10" s="5" t="s">
        <v>21</v>
      </c>
      <c r="C10" s="5" t="s">
        <v>23</v>
      </c>
    </row>
    <row r="11" customFormat="false" ht="15" hidden="false" customHeight="false" outlineLevel="0" collapsed="false">
      <c r="A11" s="14" t="n">
        <v>46296</v>
      </c>
      <c r="B11" s="15" t="n">
        <f aca="false">IFERROR(SUMIFS('Daily Output'!$D$5:$D$44,'Daily Output'!$A$5:$A$44,$A11,'Daily Output'!$B$5:$B$44,B$10)/SUMIFS('Daily Output'!$C$5:$C$44,'Daily Output'!$A$5:$A$44,$A11,'Daily Output'!$B$5:$B$44,B$10),0)</f>
        <v>0.985714285714286</v>
      </c>
      <c r="C11" s="15" t="n">
        <f aca="false">IFERROR(SUMIFS('Daily Output'!$D$5:$D$44,'Daily Output'!$A$5:$A$44,$A11,'Daily Output'!$B$5:$B$44,C$10)/SUMIFS('Daily Output'!$C$5:$C$44,'Daily Output'!$A$5:$A$44,$A11,'Daily Output'!$B$5:$B$44,C$10),0)</f>
        <v>0.844736842105263</v>
      </c>
    </row>
    <row r="12" customFormat="false" ht="15" hidden="false" customHeight="false" outlineLevel="0" collapsed="false">
      <c r="A12" s="14" t="n">
        <v>46297</v>
      </c>
      <c r="B12" s="15" t="n">
        <f aca="false">IFERROR(SUMIFS('Daily Output'!$D$5:$D$44,'Daily Output'!$A$5:$A$44,$A12,'Daily Output'!$B$5:$B$44,B$10)/SUMIFS('Daily Output'!$C$5:$C$44,'Daily Output'!$A$5:$A$44,$A12,'Daily Output'!$B$5:$B$44,B$10),0)</f>
        <v>0.902380952380952</v>
      </c>
      <c r="C12" s="15" t="n">
        <f aca="false">IFERROR(SUMIFS('Daily Output'!$D$5:$D$44,'Daily Output'!$A$5:$A$44,$A12,'Daily Output'!$B$5:$B$44,C$10)/SUMIFS('Daily Output'!$C$5:$C$44,'Daily Output'!$A$5:$A$44,$A12,'Daily Output'!$B$5:$B$44,C$10),0)</f>
        <v>0.889473684210526</v>
      </c>
    </row>
    <row r="13" customFormat="false" ht="15" hidden="false" customHeight="false" outlineLevel="0" collapsed="false">
      <c r="A13" s="14" t="n">
        <v>46300</v>
      </c>
      <c r="B13" s="15" t="n">
        <f aca="false">IFERROR(SUMIFS('Daily Output'!$D$5:$D$44,'Daily Output'!$A$5:$A$44,$A13,'Daily Output'!$B$5:$B$44,B$10)/SUMIFS('Daily Output'!$C$5:$C$44,'Daily Output'!$A$5:$A$44,$A13,'Daily Output'!$B$5:$B$44,B$10),0)</f>
        <v>1.00714285714286</v>
      </c>
      <c r="C13" s="15" t="n">
        <f aca="false">IFERROR(SUMIFS('Daily Output'!$D$5:$D$44,'Daily Output'!$A$5:$A$44,$A13,'Daily Output'!$B$5:$B$44,C$10)/SUMIFS('Daily Output'!$C$5:$C$44,'Daily Output'!$A$5:$A$44,$A13,'Daily Output'!$B$5:$B$44,C$10),0)</f>
        <v>0.994736842105263</v>
      </c>
    </row>
    <row r="14" customFormat="false" ht="15" hidden="false" customHeight="false" outlineLevel="0" collapsed="false">
      <c r="A14" s="14" t="n">
        <v>46301</v>
      </c>
      <c r="B14" s="15" t="n">
        <f aca="false">IFERROR(SUMIFS('Daily Output'!$D$5:$D$44,'Daily Output'!$A$5:$A$44,$A14,'Daily Output'!$B$5:$B$44,B$10)/SUMIFS('Daily Output'!$C$5:$C$44,'Daily Output'!$A$5:$A$44,$A14,'Daily Output'!$B$5:$B$44,B$10),0)</f>
        <v>1.04285714285714</v>
      </c>
      <c r="C14" s="15" t="n">
        <f aca="false">IFERROR(SUMIFS('Daily Output'!$D$5:$D$44,'Daily Output'!$A$5:$A$44,$A14,'Daily Output'!$B$5:$B$44,C$10)/SUMIFS('Daily Output'!$C$5:$C$44,'Daily Output'!$A$5:$A$44,$A14,'Daily Output'!$B$5:$B$44,C$10),0)</f>
        <v>0.857894736842105</v>
      </c>
    </row>
    <row r="15" customFormat="false" ht="15" hidden="false" customHeight="false" outlineLevel="0" collapsed="false">
      <c r="A15" s="14" t="n">
        <v>46302</v>
      </c>
      <c r="B15" s="15" t="n">
        <f aca="false">IFERROR(SUMIFS('Daily Output'!$D$5:$D$44,'Daily Output'!$A$5:$A$44,$A15,'Daily Output'!$B$5:$B$44,B$10)/SUMIFS('Daily Output'!$C$5:$C$44,'Daily Output'!$A$5:$A$44,$A15,'Daily Output'!$B$5:$B$44,B$10),0)</f>
        <v>0.935714285714286</v>
      </c>
      <c r="C15" s="15" t="n">
        <f aca="false">IFERROR(SUMIFS('Daily Output'!$D$5:$D$44,'Daily Output'!$A$5:$A$44,$A15,'Daily Output'!$B$5:$B$44,C$10)/SUMIFS('Daily Output'!$C$5:$C$44,'Daily Output'!$A$5:$A$44,$A15,'Daily Output'!$B$5:$B$44,C$10),0)</f>
        <v>0.844736842105263</v>
      </c>
    </row>
    <row r="16" customFormat="false" ht="15" hidden="false" customHeight="false" outlineLevel="0" collapsed="false">
      <c r="A16" s="14" t="n">
        <v>46303</v>
      </c>
      <c r="B16" s="15" t="n">
        <f aca="false">IFERROR(SUMIFS('Daily Output'!$D$5:$D$44,'Daily Output'!$A$5:$A$44,$A16,'Daily Output'!$B$5:$B$44,B$10)/SUMIFS('Daily Output'!$C$5:$C$44,'Daily Output'!$A$5:$A$44,$A16,'Daily Output'!$B$5:$B$44,B$10),0)</f>
        <v>0.888095238095238</v>
      </c>
      <c r="C16" s="15" t="n">
        <f aca="false">IFERROR(SUMIFS('Daily Output'!$D$5:$D$44,'Daily Output'!$A$5:$A$44,$A16,'Daily Output'!$B$5:$B$44,C$10)/SUMIFS('Daily Output'!$C$5:$C$44,'Daily Output'!$A$5:$A$44,$A16,'Daily Output'!$B$5:$B$44,C$10),0)</f>
        <v>0.955263157894737</v>
      </c>
    </row>
    <row r="17" customFormat="false" ht="15" hidden="false" customHeight="false" outlineLevel="0" collapsed="false">
      <c r="A17" s="14" t="n">
        <v>46304</v>
      </c>
      <c r="B17" s="15" t="n">
        <f aca="false">IFERROR(SUMIFS('Daily Output'!$D$5:$D$44,'Daily Output'!$A$5:$A$44,$A17,'Daily Output'!$B$5:$B$44,B$10)/SUMIFS('Daily Output'!$C$5:$C$44,'Daily Output'!$A$5:$A$44,$A17,'Daily Output'!$B$5:$B$44,B$10),0)</f>
        <v>0.845238095238095</v>
      </c>
      <c r="C17" s="15" t="n">
        <f aca="false">IFERROR(SUMIFS('Daily Output'!$D$5:$D$44,'Daily Output'!$A$5:$A$44,$A17,'Daily Output'!$B$5:$B$44,C$10)/SUMIFS('Daily Output'!$C$5:$C$44,'Daily Output'!$A$5:$A$44,$A17,'Daily Output'!$B$5:$B$44,C$10),0)</f>
        <v>0.884210526315789</v>
      </c>
    </row>
    <row r="18" customFormat="false" ht="15" hidden="false" customHeight="false" outlineLevel="0" collapsed="false">
      <c r="A18" s="14" t="n">
        <v>46307</v>
      </c>
      <c r="B18" s="15" t="n">
        <f aca="false">IFERROR(SUMIFS('Daily Output'!$D$5:$D$44,'Daily Output'!$A$5:$A$44,$A18,'Daily Output'!$B$5:$B$44,B$10)/SUMIFS('Daily Output'!$C$5:$C$44,'Daily Output'!$A$5:$A$44,$A18,'Daily Output'!$B$5:$B$44,B$10),0)</f>
        <v>0.988095238095238</v>
      </c>
      <c r="C18" s="15" t="n">
        <f aca="false">IFERROR(SUMIFS('Daily Output'!$D$5:$D$44,'Daily Output'!$A$5:$A$44,$A18,'Daily Output'!$B$5:$B$44,C$10)/SUMIFS('Daily Output'!$C$5:$C$44,'Daily Output'!$A$5:$A$44,$A18,'Daily Output'!$B$5:$B$44,C$10),0)</f>
        <v>0.963157894736842</v>
      </c>
    </row>
    <row r="19" customFormat="false" ht="15" hidden="false" customHeight="false" outlineLevel="0" collapsed="false">
      <c r="A19" s="14" t="n">
        <v>46308</v>
      </c>
      <c r="B19" s="15" t="n">
        <f aca="false">IFERROR(SUMIFS('Daily Output'!$D$5:$D$44,'Daily Output'!$A$5:$A$44,$A19,'Daily Output'!$B$5:$B$44,B$10)/SUMIFS('Daily Output'!$C$5:$C$44,'Daily Output'!$A$5:$A$44,$A19,'Daily Output'!$B$5:$B$44,B$10),0)</f>
        <v>0.89047619047619</v>
      </c>
      <c r="C19" s="15" t="n">
        <f aca="false">IFERROR(SUMIFS('Daily Output'!$D$5:$D$44,'Daily Output'!$A$5:$A$44,$A19,'Daily Output'!$B$5:$B$44,C$10)/SUMIFS('Daily Output'!$C$5:$C$44,'Daily Output'!$A$5:$A$44,$A19,'Daily Output'!$B$5:$B$44,C$10),0)</f>
        <v>0.973684210526316</v>
      </c>
    </row>
    <row r="20" customFormat="false" ht="15" hidden="false" customHeight="false" outlineLevel="0" collapsed="false">
      <c r="A20" s="14" t="n">
        <v>46309</v>
      </c>
      <c r="B20" s="15" t="n">
        <f aca="false">IFERROR(SUMIFS('Daily Output'!$D$5:$D$44,'Daily Output'!$A$5:$A$44,$A20,'Daily Output'!$B$5:$B$44,B$10)/SUMIFS('Daily Output'!$C$5:$C$44,'Daily Output'!$A$5:$A$44,$A20,'Daily Output'!$B$5:$B$44,B$10),0)</f>
        <v>1.02380952380952</v>
      </c>
      <c r="C20" s="15" t="n">
        <f aca="false">IFERROR(SUMIFS('Daily Output'!$D$5:$D$44,'Daily Output'!$A$5:$A$44,$A20,'Daily Output'!$B$5:$B$44,C$10)/SUMIFS('Daily Output'!$C$5:$C$44,'Daily Output'!$A$5:$A$44,$A20,'Daily Output'!$B$5:$B$44,C$10),0)</f>
        <v>0.839473684210526</v>
      </c>
    </row>
    <row r="21" customFormat="false" ht="15" hidden="false" customHeight="false" outlineLevel="0" collapsed="false">
      <c r="A21" s="14" t="n">
        <v>46310</v>
      </c>
      <c r="B21" s="15" t="n">
        <f aca="false">IFERROR(SUMIFS('Daily Output'!$D$5:$D$44,'Daily Output'!$A$5:$A$44,$A21,'Daily Output'!$B$5:$B$44,B$10)/SUMIFS('Daily Output'!$C$5:$C$44,'Daily Output'!$A$5:$A$44,$A21,'Daily Output'!$B$5:$B$44,B$10),0)</f>
        <v>1.02380952380952</v>
      </c>
      <c r="C21" s="15" t="n">
        <f aca="false">IFERROR(SUMIFS('Daily Output'!$D$5:$D$44,'Daily Output'!$A$5:$A$44,$A21,'Daily Output'!$B$5:$B$44,C$10)/SUMIFS('Daily Output'!$C$5:$C$44,'Daily Output'!$A$5:$A$44,$A21,'Daily Output'!$B$5:$B$44,C$10),0)</f>
        <v>1</v>
      </c>
    </row>
    <row r="22" customFormat="false" ht="15" hidden="false" customHeight="false" outlineLevel="0" collapsed="false">
      <c r="A22" s="14" t="n">
        <v>46311</v>
      </c>
      <c r="B22" s="15" t="n">
        <f aca="false">IFERROR(SUMIFS('Daily Output'!$D$5:$D$44,'Daily Output'!$A$5:$A$44,$A22,'Daily Output'!$B$5:$B$44,B$10)/SUMIFS('Daily Output'!$C$5:$C$44,'Daily Output'!$A$5:$A$44,$A22,'Daily Output'!$B$5:$B$44,B$10),0)</f>
        <v>0.916666666666667</v>
      </c>
      <c r="C22" s="15" t="n">
        <f aca="false">IFERROR(SUMIFS('Daily Output'!$D$5:$D$44,'Daily Output'!$A$5:$A$44,$A22,'Daily Output'!$B$5:$B$44,C$10)/SUMIFS('Daily Output'!$C$5:$C$44,'Daily Output'!$A$5:$A$44,$A22,'Daily Output'!$B$5:$B$44,C$10),0)</f>
        <v>0.873684210526316</v>
      </c>
    </row>
    <row r="23" customFormat="false" ht="15" hidden="false" customHeight="false" outlineLevel="0" collapsed="false">
      <c r="A23" s="14" t="n">
        <v>46314</v>
      </c>
      <c r="B23" s="15" t="n">
        <f aca="false">IFERROR(SUMIFS('Daily Output'!$D$5:$D$44,'Daily Output'!$A$5:$A$44,$A23,'Daily Output'!$B$5:$B$44,B$10)/SUMIFS('Daily Output'!$C$5:$C$44,'Daily Output'!$A$5:$A$44,$A23,'Daily Output'!$B$5:$B$44,B$10),0)</f>
        <v>1.05952380952381</v>
      </c>
      <c r="C23" s="15" t="n">
        <f aca="false">IFERROR(SUMIFS('Daily Output'!$D$5:$D$44,'Daily Output'!$A$5:$A$44,$A23,'Daily Output'!$B$5:$B$44,C$10)/SUMIFS('Daily Output'!$C$5:$C$44,'Daily Output'!$A$5:$A$44,$A23,'Daily Output'!$B$5:$B$44,C$10),0)</f>
        <v>0.915789473684211</v>
      </c>
    </row>
    <row r="24" customFormat="false" ht="15" hidden="false" customHeight="false" outlineLevel="0" collapsed="false">
      <c r="A24" s="14" t="n">
        <v>46315</v>
      </c>
      <c r="B24" s="15" t="n">
        <f aca="false">IFERROR(SUMIFS('Daily Output'!$D$5:$D$44,'Daily Output'!$A$5:$A$44,$A24,'Daily Output'!$B$5:$B$44,B$10)/SUMIFS('Daily Output'!$C$5:$C$44,'Daily Output'!$A$5:$A$44,$A24,'Daily Output'!$B$5:$B$44,B$10),0)</f>
        <v>0.85952380952381</v>
      </c>
      <c r="C24" s="15" t="n">
        <f aca="false">IFERROR(SUMIFS('Daily Output'!$D$5:$D$44,'Daily Output'!$A$5:$A$44,$A24,'Daily Output'!$B$5:$B$44,C$10)/SUMIFS('Daily Output'!$C$5:$C$44,'Daily Output'!$A$5:$A$44,$A24,'Daily Output'!$B$5:$B$44,C$10),0)</f>
        <v>0.860526315789474</v>
      </c>
    </row>
    <row r="25" customFormat="false" ht="15" hidden="false" customHeight="false" outlineLevel="0" collapsed="false">
      <c r="A25" s="14" t="n">
        <v>46316</v>
      </c>
      <c r="B25" s="15" t="n">
        <f aca="false">IFERROR(SUMIFS('Daily Output'!$D$5:$D$44,'Daily Output'!$A$5:$A$44,$A25,'Daily Output'!$B$5:$B$44,B$10)/SUMIFS('Daily Output'!$C$5:$C$44,'Daily Output'!$A$5:$A$44,$A25,'Daily Output'!$B$5:$B$44,B$10),0)</f>
        <v>1.03333333333333</v>
      </c>
      <c r="C25" s="15" t="n">
        <f aca="false">IFERROR(SUMIFS('Daily Output'!$D$5:$D$44,'Daily Output'!$A$5:$A$44,$A25,'Daily Output'!$B$5:$B$44,C$10)/SUMIFS('Daily Output'!$C$5:$C$44,'Daily Output'!$A$5:$A$44,$A25,'Daily Output'!$B$5:$B$44,C$10),0)</f>
        <v>0.976315789473684</v>
      </c>
    </row>
    <row r="26" customFormat="false" ht="15" hidden="false" customHeight="false" outlineLevel="0" collapsed="false">
      <c r="A26" s="14" t="n">
        <v>46317</v>
      </c>
      <c r="B26" s="15" t="n">
        <f aca="false">IFERROR(SUMIFS('Daily Output'!$D$5:$D$44,'Daily Output'!$A$5:$A$44,$A26,'Daily Output'!$B$5:$B$44,B$10)/SUMIFS('Daily Output'!$C$5:$C$44,'Daily Output'!$A$5:$A$44,$A26,'Daily Output'!$B$5:$B$44,B$10),0)</f>
        <v>1.02380952380952</v>
      </c>
      <c r="C26" s="15" t="n">
        <f aca="false">IFERROR(SUMIFS('Daily Output'!$D$5:$D$44,'Daily Output'!$A$5:$A$44,$A26,'Daily Output'!$B$5:$B$44,C$10)/SUMIFS('Daily Output'!$C$5:$C$44,'Daily Output'!$A$5:$A$44,$A26,'Daily Output'!$B$5:$B$44,C$10),0)</f>
        <v>1.00526315789474</v>
      </c>
    </row>
    <row r="27" customFormat="false" ht="15" hidden="false" customHeight="false" outlineLevel="0" collapsed="false">
      <c r="A27" s="14" t="n">
        <v>46318</v>
      </c>
      <c r="B27" s="15" t="n">
        <f aca="false">IFERROR(SUMIFS('Daily Output'!$D$5:$D$44,'Daily Output'!$A$5:$A$44,$A27,'Daily Output'!$B$5:$B$44,B$10)/SUMIFS('Daily Output'!$C$5:$C$44,'Daily Output'!$A$5:$A$44,$A27,'Daily Output'!$B$5:$B$44,B$10),0)</f>
        <v>0.961904761904762</v>
      </c>
      <c r="C27" s="15" t="n">
        <f aca="false">IFERROR(SUMIFS('Daily Output'!$D$5:$D$44,'Daily Output'!$A$5:$A$44,$A27,'Daily Output'!$B$5:$B$44,C$10)/SUMIFS('Daily Output'!$C$5:$C$44,'Daily Output'!$A$5:$A$44,$A27,'Daily Output'!$B$5:$B$44,C$10),0)</f>
        <v>1.06315789473684</v>
      </c>
    </row>
    <row r="28" customFormat="false" ht="15" hidden="false" customHeight="false" outlineLevel="0" collapsed="false">
      <c r="A28" s="14" t="n">
        <v>46321</v>
      </c>
      <c r="B28" s="15" t="n">
        <f aca="false">IFERROR(SUMIFS('Daily Output'!$D$5:$D$44,'Daily Output'!$A$5:$A$44,$A28,'Daily Output'!$B$5:$B$44,B$10)/SUMIFS('Daily Output'!$C$5:$C$44,'Daily Output'!$A$5:$A$44,$A28,'Daily Output'!$B$5:$B$44,B$10),0)</f>
        <v>0.926190476190476</v>
      </c>
      <c r="C28" s="15" t="n">
        <f aca="false">IFERROR(SUMIFS('Daily Output'!$D$5:$D$44,'Daily Output'!$A$5:$A$44,$A28,'Daily Output'!$B$5:$B$44,C$10)/SUMIFS('Daily Output'!$C$5:$C$44,'Daily Output'!$A$5:$A$44,$A28,'Daily Output'!$B$5:$B$44,C$10),0)</f>
        <v>0.965789473684211</v>
      </c>
    </row>
    <row r="29" customFormat="false" ht="15" hidden="false" customHeight="false" outlineLevel="0" collapsed="false">
      <c r="A29" s="14" t="n">
        <v>46322</v>
      </c>
      <c r="B29" s="15" t="n">
        <f aca="false">IFERROR(SUMIFS('Daily Output'!$D$5:$D$44,'Daily Output'!$A$5:$A$44,$A29,'Daily Output'!$B$5:$B$44,B$10)/SUMIFS('Daily Output'!$C$5:$C$44,'Daily Output'!$A$5:$A$44,$A29,'Daily Output'!$B$5:$B$44,B$10),0)</f>
        <v>1.02857142857143</v>
      </c>
      <c r="C29" s="15" t="n">
        <f aca="false">IFERROR(SUMIFS('Daily Output'!$D$5:$D$44,'Daily Output'!$A$5:$A$44,$A29,'Daily Output'!$B$5:$B$44,C$10)/SUMIFS('Daily Output'!$C$5:$C$44,'Daily Output'!$A$5:$A$44,$A29,'Daily Output'!$B$5:$B$44,C$10),0)</f>
        <v>0.981578947368421</v>
      </c>
    </row>
    <row r="30" customFormat="false" ht="15" hidden="false" customHeight="false" outlineLevel="0" collapsed="false">
      <c r="A30" s="14" t="n">
        <v>46323</v>
      </c>
      <c r="B30" s="15" t="n">
        <f aca="false">IFERROR(SUMIFS('Daily Output'!$D$5:$D$44,'Daily Output'!$A$5:$A$44,$A30,'Daily Output'!$B$5:$B$44,B$10)/SUMIFS('Daily Output'!$C$5:$C$44,'Daily Output'!$A$5:$A$44,$A30,'Daily Output'!$B$5:$B$44,B$10),0)</f>
        <v>1.03809523809524</v>
      </c>
      <c r="C30" s="15" t="n">
        <f aca="false">IFERROR(SUMIFS('Daily Output'!$D$5:$D$44,'Daily Output'!$A$5:$A$44,$A30,'Daily Output'!$B$5:$B$44,C$10)/SUMIFS('Daily Output'!$C$5:$C$44,'Daily Output'!$A$5:$A$44,$A30,'Daily Output'!$B$5:$B$44,C$10),0)</f>
        <v>0.971052631578947</v>
      </c>
    </row>
    <row r="32" customFormat="false" ht="15" hidden="false" customHeight="false" outlineLevel="0" collapsed="false">
      <c r="A32" s="16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4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8" min="6" style="0" width="14"/>
    <col collapsed="false" customWidth="true" hidden="false" outlineLevel="0" max="9" min="9" style="0" width="12"/>
    <col collapsed="false" customWidth="true" hidden="false" outlineLevel="0" max="10" min="10" style="0" width="14"/>
  </cols>
  <sheetData>
    <row r="1" customFormat="false" ht="17.35" hidden="false" customHeight="false" outlineLevel="0" collapsed="false">
      <c r="A1" s="1" t="s">
        <v>31</v>
      </c>
    </row>
    <row r="3" customFormat="false" ht="15" hidden="false" customHeight="false" outlineLevel="0" collapsed="false">
      <c r="A3" s="3" t="s">
        <v>32</v>
      </c>
      <c r="B3" s="17" t="n">
        <v>7</v>
      </c>
      <c r="C3" s="16" t="s">
        <v>33</v>
      </c>
    </row>
    <row r="4" customFormat="false" ht="15" hidden="false" customHeight="false" outlineLevel="0" collapsed="false">
      <c r="A4" s="3" t="s">
        <v>34</v>
      </c>
      <c r="B4" s="18" t="n">
        <v>46324</v>
      </c>
    </row>
    <row r="6" customFormat="false" ht="30" hidden="false" customHeight="true" outlineLevel="0" collapsed="false">
      <c r="A6" s="5" t="s">
        <v>35</v>
      </c>
      <c r="B6" s="5" t="s">
        <v>36</v>
      </c>
      <c r="C6" s="5" t="s">
        <v>37</v>
      </c>
      <c r="D6" s="5" t="s">
        <v>38</v>
      </c>
      <c r="E6" s="5" t="s">
        <v>39</v>
      </c>
      <c r="F6" s="5" t="s">
        <v>40</v>
      </c>
      <c r="G6" s="5" t="s">
        <v>41</v>
      </c>
      <c r="H6" s="5" t="s">
        <v>42</v>
      </c>
      <c r="I6" s="5" t="s">
        <v>43</v>
      </c>
      <c r="J6" s="5" t="s">
        <v>44</v>
      </c>
    </row>
    <row r="7" customFormat="false" ht="15" hidden="false" customHeight="false" outlineLevel="0" collapsed="false">
      <c r="A7" s="17" t="s">
        <v>45</v>
      </c>
      <c r="B7" s="17" t="s">
        <v>46</v>
      </c>
      <c r="C7" s="19" t="n">
        <v>46329</v>
      </c>
      <c r="D7" s="20" t="n">
        <v>48000</v>
      </c>
      <c r="E7" s="20" t="n">
        <v>1200</v>
      </c>
      <c r="F7" s="21" t="n">
        <f aca="false">ROUNDUP(D7/E7,0)</f>
        <v>40</v>
      </c>
      <c r="G7" s="22" t="n">
        <v>0.96</v>
      </c>
      <c r="H7" s="21" t="n">
        <f aca="false">ROUNDUP(F7/G7,0)</f>
        <v>42</v>
      </c>
      <c r="I7" s="23" t="n">
        <f aca="false">C7-$B$3</f>
        <v>46322</v>
      </c>
      <c r="J7" s="24" t="str">
        <f aca="false">IF(C7&lt;$B$4,"Shipped",IF(I7&lt;=$B$4,"Start Now","Scheduled"))</f>
        <v>Start Now</v>
      </c>
    </row>
    <row r="8" customFormat="false" ht="15" hidden="false" customHeight="false" outlineLevel="0" collapsed="false">
      <c r="A8" s="17" t="s">
        <v>47</v>
      </c>
      <c r="B8" s="17" t="s">
        <v>46</v>
      </c>
      <c r="C8" s="19" t="n">
        <v>46331</v>
      </c>
      <c r="D8" s="20" t="n">
        <v>36000</v>
      </c>
      <c r="E8" s="20" t="n">
        <v>1200</v>
      </c>
      <c r="F8" s="21" t="n">
        <f aca="false">ROUNDUP(D8/E8,0)</f>
        <v>30</v>
      </c>
      <c r="G8" s="22" t="n">
        <v>0.95</v>
      </c>
      <c r="H8" s="21" t="n">
        <f aca="false">ROUNDUP(F8/G8,0)</f>
        <v>32</v>
      </c>
      <c r="I8" s="23" t="n">
        <f aca="false">C8-$B$3</f>
        <v>46324</v>
      </c>
      <c r="J8" s="24" t="str">
        <f aca="false">IF(C8&lt;$B$4,"Shipped",IF(I8&lt;=$B$4,"Start Now","Scheduled"))</f>
        <v>Start Now</v>
      </c>
    </row>
    <row r="9" customFormat="false" ht="15" hidden="false" customHeight="false" outlineLevel="0" collapsed="false">
      <c r="A9" s="17" t="s">
        <v>48</v>
      </c>
      <c r="B9" s="17" t="s">
        <v>49</v>
      </c>
      <c r="C9" s="19" t="n">
        <v>46332</v>
      </c>
      <c r="D9" s="20" t="n">
        <v>25200</v>
      </c>
      <c r="E9" s="20" t="n">
        <v>840</v>
      </c>
      <c r="F9" s="21" t="n">
        <f aca="false">ROUNDUP(D9/E9,0)</f>
        <v>30</v>
      </c>
      <c r="G9" s="22" t="n">
        <v>0.93</v>
      </c>
      <c r="H9" s="21" t="n">
        <f aca="false">ROUNDUP(F9/G9,0)</f>
        <v>33</v>
      </c>
      <c r="I9" s="23" t="n">
        <f aca="false">C9-$B$3</f>
        <v>46325</v>
      </c>
      <c r="J9" s="24" t="str">
        <f aca="false">IF(C9&lt;$B$4,"Shipped",IF(I9&lt;=$B$4,"Start Now","Scheduled"))</f>
        <v>Scheduled</v>
      </c>
    </row>
    <row r="10" customFormat="false" ht="15" hidden="false" customHeight="false" outlineLevel="0" collapsed="false">
      <c r="A10" s="17" t="s">
        <v>50</v>
      </c>
      <c r="B10" s="17" t="s">
        <v>49</v>
      </c>
      <c r="C10" s="19" t="n">
        <v>46336</v>
      </c>
      <c r="D10" s="20" t="n">
        <v>60480</v>
      </c>
      <c r="E10" s="20" t="n">
        <v>2016</v>
      </c>
      <c r="F10" s="21" t="n">
        <f aca="false">ROUNDUP(D10/E10,0)</f>
        <v>30</v>
      </c>
      <c r="G10" s="22" t="n">
        <v>0.94</v>
      </c>
      <c r="H10" s="21" t="n">
        <f aca="false">ROUNDUP(F10/G10,0)</f>
        <v>32</v>
      </c>
      <c r="I10" s="23" t="n">
        <f aca="false">C10-$B$3</f>
        <v>46329</v>
      </c>
      <c r="J10" s="24" t="str">
        <f aca="false">IF(C10&lt;$B$4,"Shipped",IF(I10&lt;=$B$4,"Start Now","Scheduled"))</f>
        <v>Scheduled</v>
      </c>
    </row>
    <row r="11" customFormat="false" ht="15" hidden="false" customHeight="false" outlineLevel="0" collapsed="false">
      <c r="A11" s="17" t="s">
        <v>51</v>
      </c>
      <c r="B11" s="17" t="s">
        <v>52</v>
      </c>
      <c r="C11" s="19" t="n">
        <v>46338</v>
      </c>
      <c r="D11" s="20" t="n">
        <v>15000</v>
      </c>
      <c r="E11" s="20" t="n">
        <v>500</v>
      </c>
      <c r="F11" s="21" t="n">
        <f aca="false">ROUNDUP(D11/E11,0)</f>
        <v>30</v>
      </c>
      <c r="G11" s="22" t="n">
        <v>0.97</v>
      </c>
      <c r="H11" s="21" t="n">
        <f aca="false">ROUNDUP(F11/G11,0)</f>
        <v>31</v>
      </c>
      <c r="I11" s="23" t="n">
        <f aca="false">C11-$B$3</f>
        <v>46331</v>
      </c>
      <c r="J11" s="24" t="str">
        <f aca="false">IF(C11&lt;$B$4,"Shipped",IF(I11&lt;=$B$4,"Start Now","Scheduled"))</f>
        <v>Scheduled</v>
      </c>
    </row>
    <row r="12" customFormat="false" ht="15" hidden="false" customHeight="false" outlineLevel="0" collapsed="false">
      <c r="A12" s="17" t="s">
        <v>53</v>
      </c>
      <c r="B12" s="17" t="s">
        <v>52</v>
      </c>
      <c r="C12" s="19" t="n">
        <v>46339</v>
      </c>
      <c r="D12" s="20" t="n">
        <v>41600</v>
      </c>
      <c r="E12" s="20" t="n">
        <v>1600</v>
      </c>
      <c r="F12" s="21" t="n">
        <f aca="false">ROUNDUP(D12/E12,0)</f>
        <v>26</v>
      </c>
      <c r="G12" s="22" t="n">
        <v>0.92</v>
      </c>
      <c r="H12" s="21" t="n">
        <f aca="false">ROUNDUP(F12/G12,0)</f>
        <v>29</v>
      </c>
      <c r="I12" s="23" t="n">
        <f aca="false">C12-$B$3</f>
        <v>46332</v>
      </c>
      <c r="J12" s="24" t="str">
        <f aca="false">IF(C12&lt;$B$4,"Shipped",IF(I12&lt;=$B$4,"Start Now","Scheduled"))</f>
        <v>Scheduled</v>
      </c>
    </row>
    <row r="13" customFormat="false" ht="15" hidden="false" customHeight="false" outlineLevel="0" collapsed="false">
      <c r="A13" s="17" t="s">
        <v>54</v>
      </c>
      <c r="B13" s="17" t="s">
        <v>55</v>
      </c>
      <c r="C13" s="19" t="n">
        <v>46343</v>
      </c>
      <c r="D13" s="20" t="n">
        <v>72000</v>
      </c>
      <c r="E13" s="20" t="n">
        <v>2400</v>
      </c>
      <c r="F13" s="21" t="n">
        <f aca="false">ROUNDUP(D13/E13,0)</f>
        <v>30</v>
      </c>
      <c r="G13" s="22" t="n">
        <v>0.95</v>
      </c>
      <c r="H13" s="21" t="n">
        <f aca="false">ROUNDUP(F13/G13,0)</f>
        <v>32</v>
      </c>
      <c r="I13" s="23" t="n">
        <f aca="false">C13-$B$3</f>
        <v>46336</v>
      </c>
      <c r="J13" s="24" t="str">
        <f aca="false">IF(C13&lt;$B$4,"Shipped",IF(I13&lt;=$B$4,"Start Now","Scheduled"))</f>
        <v>Scheduled</v>
      </c>
    </row>
    <row r="14" customFormat="false" ht="15" hidden="false" customHeight="false" outlineLevel="0" collapsed="false">
      <c r="A14" s="17" t="s">
        <v>56</v>
      </c>
      <c r="B14" s="17" t="s">
        <v>55</v>
      </c>
      <c r="C14" s="19" t="n">
        <v>46345</v>
      </c>
      <c r="D14" s="20" t="n">
        <v>19200</v>
      </c>
      <c r="E14" s="20" t="n">
        <v>640</v>
      </c>
      <c r="F14" s="21" t="n">
        <f aca="false">ROUNDUP(D14/E14,0)</f>
        <v>30</v>
      </c>
      <c r="G14" s="22" t="n">
        <v>0.96</v>
      </c>
      <c r="H14" s="21" t="n">
        <f aca="false">ROUNDUP(F14/G14,0)</f>
        <v>32</v>
      </c>
      <c r="I14" s="23" t="n">
        <f aca="false">C14-$B$3</f>
        <v>46338</v>
      </c>
      <c r="J14" s="24" t="str">
        <f aca="false">IF(C14&lt;$B$4,"Shipped",IF(I14&lt;=$B$4,"Start Now","Scheduled"))</f>
        <v>Scheduled</v>
      </c>
    </row>
    <row r="15" customFormat="false" ht="15" hidden="false" customHeight="false" outlineLevel="0" collapsed="false">
      <c r="A15" s="17" t="s">
        <v>57</v>
      </c>
      <c r="B15" s="17" t="s">
        <v>58</v>
      </c>
      <c r="C15" s="19" t="n">
        <v>46346</v>
      </c>
      <c r="D15" s="20" t="n">
        <v>52800</v>
      </c>
      <c r="E15" s="20" t="n">
        <v>1760</v>
      </c>
      <c r="F15" s="21" t="n">
        <f aca="false">ROUNDUP(D15/E15,0)</f>
        <v>30</v>
      </c>
      <c r="G15" s="22" t="n">
        <v>0.94</v>
      </c>
      <c r="H15" s="21" t="n">
        <f aca="false">ROUNDUP(F15/G15,0)</f>
        <v>32</v>
      </c>
      <c r="I15" s="23" t="n">
        <f aca="false">C15-$B$3</f>
        <v>46339</v>
      </c>
      <c r="J15" s="24" t="str">
        <f aca="false">IF(C15&lt;$B$4,"Shipped",IF(I15&lt;=$B$4,"Start Now","Scheduled"))</f>
        <v>Scheduled</v>
      </c>
    </row>
    <row r="16" customFormat="false" ht="15" hidden="false" customHeight="false" outlineLevel="0" collapsed="false">
      <c r="A16" s="17" t="s">
        <v>59</v>
      </c>
      <c r="B16" s="17" t="s">
        <v>58</v>
      </c>
      <c r="C16" s="19" t="n">
        <v>46350</v>
      </c>
      <c r="D16" s="20" t="n">
        <v>33600</v>
      </c>
      <c r="E16" s="20" t="n">
        <v>1120</v>
      </c>
      <c r="F16" s="21" t="n">
        <f aca="false">ROUNDUP(D16/E16,0)</f>
        <v>30</v>
      </c>
      <c r="G16" s="22" t="n">
        <v>0.95</v>
      </c>
      <c r="H16" s="21" t="n">
        <f aca="false">ROUNDUP(F16/G16,0)</f>
        <v>32</v>
      </c>
      <c r="I16" s="23" t="n">
        <f aca="false">C16-$B$3</f>
        <v>46343</v>
      </c>
      <c r="J16" s="24" t="str">
        <f aca="false">IF(C16&lt;$B$4,"Shipped",IF(I16&lt;=$B$4,"Start Now","Scheduled"))</f>
        <v>Scheduled</v>
      </c>
    </row>
    <row r="17" customFormat="false" ht="15" hidden="false" customHeight="false" outlineLevel="0" collapsed="false">
      <c r="A17" s="17" t="s">
        <v>60</v>
      </c>
      <c r="B17" s="17" t="s">
        <v>61</v>
      </c>
      <c r="C17" s="19" t="n">
        <v>46352</v>
      </c>
      <c r="D17" s="20" t="n">
        <v>28800</v>
      </c>
      <c r="E17" s="20" t="n">
        <v>960</v>
      </c>
      <c r="F17" s="21" t="n">
        <f aca="false">ROUNDUP(D17/E17,0)</f>
        <v>30</v>
      </c>
      <c r="G17" s="22" t="n">
        <v>0.93</v>
      </c>
      <c r="H17" s="21" t="n">
        <f aca="false">ROUNDUP(F17/G17,0)</f>
        <v>33</v>
      </c>
      <c r="I17" s="23" t="n">
        <f aca="false">C17-$B$3</f>
        <v>46345</v>
      </c>
      <c r="J17" s="24" t="str">
        <f aca="false">IF(C17&lt;$B$4,"Shipped",IF(I17&lt;=$B$4,"Start Now","Scheduled"))</f>
        <v>Scheduled</v>
      </c>
    </row>
    <row r="18" customFormat="false" ht="15" hidden="false" customHeight="false" outlineLevel="0" collapsed="false">
      <c r="A18" s="17" t="s">
        <v>62</v>
      </c>
      <c r="B18" s="17" t="s">
        <v>61</v>
      </c>
      <c r="C18" s="19" t="n">
        <v>46353</v>
      </c>
      <c r="D18" s="20" t="n">
        <v>45000</v>
      </c>
      <c r="E18" s="20" t="n">
        <v>1500</v>
      </c>
      <c r="F18" s="21" t="n">
        <f aca="false">ROUNDUP(D18/E18,0)</f>
        <v>30</v>
      </c>
      <c r="G18" s="22" t="n">
        <v>0.96</v>
      </c>
      <c r="H18" s="21" t="n">
        <f aca="false">ROUNDUP(F18/G18,0)</f>
        <v>32</v>
      </c>
      <c r="I18" s="23" t="n">
        <f aca="false">C18-$B$3</f>
        <v>46346</v>
      </c>
      <c r="J18" s="24" t="str">
        <f aca="false">IF(C18&lt;$B$4,"Shipped",IF(I18&lt;=$B$4,"Start Now","Scheduled"))</f>
        <v>Scheduled</v>
      </c>
    </row>
    <row r="19" customFormat="false" ht="15" hidden="false" customHeight="false" outlineLevel="0" collapsed="false">
      <c r="A19" s="10" t="s">
        <v>63</v>
      </c>
      <c r="B19" s="10"/>
      <c r="C19" s="10"/>
      <c r="D19" s="11" t="n">
        <f aca="false">SUM(D7:D18)</f>
        <v>477680</v>
      </c>
      <c r="E19" s="10"/>
      <c r="F19" s="11" t="n">
        <f aca="false">SUM(F7:F18)</f>
        <v>366</v>
      </c>
      <c r="G19" s="10"/>
      <c r="H19" s="11" t="n">
        <f aca="false">SUM(H7:H18)</f>
        <v>392</v>
      </c>
      <c r="I19" s="10"/>
      <c r="J19" s="10"/>
    </row>
    <row r="21" customFormat="false" ht="15" hidden="false" customHeight="false" outlineLevel="0" collapsed="false">
      <c r="A21" s="16" t="s">
        <v>64</v>
      </c>
    </row>
    <row r="22" customFormat="false" ht="15" hidden="false" customHeight="false" outlineLevel="0" collapsed="false">
      <c r="A22" s="16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4" min="3" style="0" width="14"/>
    <col collapsed="false" customWidth="true" hidden="false" outlineLevel="0" max="5" min="5" style="0" width="15"/>
    <col collapsed="false" customWidth="true" hidden="false" outlineLevel="0" max="6" min="6" style="0" width="14"/>
    <col collapsed="false" customWidth="true" hidden="false" outlineLevel="0" max="7" min="7" style="0" width="11"/>
    <col collapsed="false" customWidth="true" hidden="false" outlineLevel="0" max="8" min="8" style="0" width="18"/>
  </cols>
  <sheetData>
    <row r="1" customFormat="false" ht="17.35" hidden="false" customHeight="false" outlineLevel="0" collapsed="false">
      <c r="A1" s="1" t="s">
        <v>66</v>
      </c>
    </row>
    <row r="2" customFormat="false" ht="15" hidden="false" customHeight="false" outlineLevel="0" collapsed="false">
      <c r="A2" s="16" t="s">
        <v>67</v>
      </c>
    </row>
    <row r="4" customFormat="false" ht="30" hidden="false" customHeight="true" outlineLevel="0" collapsed="false">
      <c r="A4" s="5" t="s">
        <v>29</v>
      </c>
      <c r="B4" s="5" t="s">
        <v>14</v>
      </c>
      <c r="C4" s="5" t="s">
        <v>68</v>
      </c>
      <c r="D4" s="5" t="s">
        <v>69</v>
      </c>
      <c r="E4" s="5" t="s">
        <v>70</v>
      </c>
      <c r="F4" s="5" t="s">
        <v>17</v>
      </c>
      <c r="G4" s="5" t="s">
        <v>71</v>
      </c>
      <c r="H4" s="5" t="s">
        <v>72</v>
      </c>
    </row>
    <row r="5" customFormat="false" ht="15" hidden="false" customHeight="false" outlineLevel="0" collapsed="false">
      <c r="A5" s="19" t="n">
        <v>46296</v>
      </c>
      <c r="B5" s="17" t="s">
        <v>21</v>
      </c>
      <c r="C5" s="25" t="n">
        <v>42000</v>
      </c>
      <c r="D5" s="25" t="n">
        <v>41400</v>
      </c>
      <c r="E5" s="26" t="n">
        <f aca="false">D5-C5</f>
        <v>-600</v>
      </c>
      <c r="F5" s="8" t="n">
        <f aca="false">IFERROR(D5/C5,0)</f>
        <v>0.985714285714286</v>
      </c>
      <c r="G5" s="17" t="n">
        <v>12</v>
      </c>
      <c r="H5" s="21" t="n">
        <f aca="false">IFERROR(D5/G5,0)</f>
        <v>3450</v>
      </c>
    </row>
    <row r="6" customFormat="false" ht="15" hidden="false" customHeight="false" outlineLevel="0" collapsed="false">
      <c r="A6" s="19" t="n">
        <v>46296</v>
      </c>
      <c r="B6" s="17" t="s">
        <v>23</v>
      </c>
      <c r="C6" s="25" t="n">
        <v>38000</v>
      </c>
      <c r="D6" s="25" t="n">
        <v>32100</v>
      </c>
      <c r="E6" s="26" t="n">
        <f aca="false">D6-C6</f>
        <v>-5900</v>
      </c>
      <c r="F6" s="8" t="n">
        <f aca="false">IFERROR(D6/C6,0)</f>
        <v>0.844736842105263</v>
      </c>
      <c r="G6" s="17" t="n">
        <v>9</v>
      </c>
      <c r="H6" s="21" t="n">
        <f aca="false">IFERROR(D6/G6,0)</f>
        <v>3566.66666666667</v>
      </c>
    </row>
    <row r="7" customFormat="false" ht="15" hidden="false" customHeight="false" outlineLevel="0" collapsed="false">
      <c r="A7" s="19" t="n">
        <v>46297</v>
      </c>
      <c r="B7" s="17" t="s">
        <v>21</v>
      </c>
      <c r="C7" s="25" t="n">
        <v>42000</v>
      </c>
      <c r="D7" s="25" t="n">
        <v>37900</v>
      </c>
      <c r="E7" s="26" t="n">
        <f aca="false">D7-C7</f>
        <v>-4100</v>
      </c>
      <c r="F7" s="8" t="n">
        <f aca="false">IFERROR(D7/C7,0)</f>
        <v>0.902380952380952</v>
      </c>
      <c r="G7" s="17" t="n">
        <v>12</v>
      </c>
      <c r="H7" s="21" t="n">
        <f aca="false">IFERROR(D7/G7,0)</f>
        <v>3158.33333333333</v>
      </c>
    </row>
    <row r="8" customFormat="false" ht="15" hidden="false" customHeight="false" outlineLevel="0" collapsed="false">
      <c r="A8" s="19" t="n">
        <v>46297</v>
      </c>
      <c r="B8" s="17" t="s">
        <v>23</v>
      </c>
      <c r="C8" s="25" t="n">
        <v>38000</v>
      </c>
      <c r="D8" s="25" t="n">
        <v>33800</v>
      </c>
      <c r="E8" s="26" t="n">
        <f aca="false">D8-C8</f>
        <v>-4200</v>
      </c>
      <c r="F8" s="8" t="n">
        <f aca="false">IFERROR(D8/C8,0)</f>
        <v>0.889473684210526</v>
      </c>
      <c r="G8" s="17" t="n">
        <v>9</v>
      </c>
      <c r="H8" s="21" t="n">
        <f aca="false">IFERROR(D8/G8,0)</f>
        <v>3755.55555555556</v>
      </c>
    </row>
    <row r="9" customFormat="false" ht="15" hidden="false" customHeight="false" outlineLevel="0" collapsed="false">
      <c r="A9" s="19" t="n">
        <v>46300</v>
      </c>
      <c r="B9" s="17" t="s">
        <v>21</v>
      </c>
      <c r="C9" s="25" t="n">
        <v>42000</v>
      </c>
      <c r="D9" s="25" t="n">
        <v>42300</v>
      </c>
      <c r="E9" s="26" t="n">
        <f aca="false">D9-C9</f>
        <v>300</v>
      </c>
      <c r="F9" s="8" t="n">
        <f aca="false">IFERROR(D9/C9,0)</f>
        <v>1.00714285714286</v>
      </c>
      <c r="G9" s="17" t="n">
        <v>12</v>
      </c>
      <c r="H9" s="21" t="n">
        <f aca="false">IFERROR(D9/G9,0)</f>
        <v>3525</v>
      </c>
    </row>
    <row r="10" customFormat="false" ht="15" hidden="false" customHeight="false" outlineLevel="0" collapsed="false">
      <c r="A10" s="19" t="n">
        <v>46300</v>
      </c>
      <c r="B10" s="17" t="s">
        <v>23</v>
      </c>
      <c r="C10" s="25" t="n">
        <v>38000</v>
      </c>
      <c r="D10" s="25" t="n">
        <v>37800</v>
      </c>
      <c r="E10" s="26" t="n">
        <f aca="false">D10-C10</f>
        <v>-200</v>
      </c>
      <c r="F10" s="8" t="n">
        <f aca="false">IFERROR(D10/C10,0)</f>
        <v>0.994736842105263</v>
      </c>
      <c r="G10" s="17" t="n">
        <v>9</v>
      </c>
      <c r="H10" s="21" t="n">
        <f aca="false">IFERROR(D10/G10,0)</f>
        <v>4200</v>
      </c>
    </row>
    <row r="11" customFormat="false" ht="15" hidden="false" customHeight="false" outlineLevel="0" collapsed="false">
      <c r="A11" s="19" t="n">
        <v>46301</v>
      </c>
      <c r="B11" s="17" t="s">
        <v>21</v>
      </c>
      <c r="C11" s="25" t="n">
        <v>42000</v>
      </c>
      <c r="D11" s="25" t="n">
        <v>43800</v>
      </c>
      <c r="E11" s="26" t="n">
        <f aca="false">D11-C11</f>
        <v>1800</v>
      </c>
      <c r="F11" s="8" t="n">
        <f aca="false">IFERROR(D11/C11,0)</f>
        <v>1.04285714285714</v>
      </c>
      <c r="G11" s="17" t="n">
        <v>12</v>
      </c>
      <c r="H11" s="21" t="n">
        <f aca="false">IFERROR(D11/G11,0)</f>
        <v>3650</v>
      </c>
    </row>
    <row r="12" customFormat="false" ht="15" hidden="false" customHeight="false" outlineLevel="0" collapsed="false">
      <c r="A12" s="19" t="n">
        <v>46301</v>
      </c>
      <c r="B12" s="17" t="s">
        <v>23</v>
      </c>
      <c r="C12" s="25" t="n">
        <v>38000</v>
      </c>
      <c r="D12" s="25" t="n">
        <v>32600</v>
      </c>
      <c r="E12" s="26" t="n">
        <f aca="false">D12-C12</f>
        <v>-5400</v>
      </c>
      <c r="F12" s="8" t="n">
        <f aca="false">IFERROR(D12/C12,0)</f>
        <v>0.857894736842105</v>
      </c>
      <c r="G12" s="17" t="n">
        <v>9</v>
      </c>
      <c r="H12" s="21" t="n">
        <f aca="false">IFERROR(D12/G12,0)</f>
        <v>3622.22222222222</v>
      </c>
    </row>
    <row r="13" customFormat="false" ht="15" hidden="false" customHeight="false" outlineLevel="0" collapsed="false">
      <c r="A13" s="19" t="n">
        <v>46302</v>
      </c>
      <c r="B13" s="17" t="s">
        <v>21</v>
      </c>
      <c r="C13" s="25" t="n">
        <v>42000</v>
      </c>
      <c r="D13" s="25" t="n">
        <v>39300</v>
      </c>
      <c r="E13" s="26" t="n">
        <f aca="false">D13-C13</f>
        <v>-2700</v>
      </c>
      <c r="F13" s="8" t="n">
        <f aca="false">IFERROR(D13/C13,0)</f>
        <v>0.935714285714286</v>
      </c>
      <c r="G13" s="17" t="n">
        <v>12</v>
      </c>
      <c r="H13" s="21" t="n">
        <f aca="false">IFERROR(D13/G13,0)</f>
        <v>3275</v>
      </c>
    </row>
    <row r="14" customFormat="false" ht="15" hidden="false" customHeight="false" outlineLevel="0" collapsed="false">
      <c r="A14" s="19" t="n">
        <v>46302</v>
      </c>
      <c r="B14" s="17" t="s">
        <v>23</v>
      </c>
      <c r="C14" s="25" t="n">
        <v>38000</v>
      </c>
      <c r="D14" s="25" t="n">
        <v>32100</v>
      </c>
      <c r="E14" s="26" t="n">
        <f aca="false">D14-C14</f>
        <v>-5900</v>
      </c>
      <c r="F14" s="8" t="n">
        <f aca="false">IFERROR(D14/C14,0)</f>
        <v>0.844736842105263</v>
      </c>
      <c r="G14" s="17" t="n">
        <v>9</v>
      </c>
      <c r="H14" s="21" t="n">
        <f aca="false">IFERROR(D14/G14,0)</f>
        <v>3566.66666666667</v>
      </c>
    </row>
    <row r="15" customFormat="false" ht="15" hidden="false" customHeight="false" outlineLevel="0" collapsed="false">
      <c r="A15" s="19" t="n">
        <v>46303</v>
      </c>
      <c r="B15" s="17" t="s">
        <v>21</v>
      </c>
      <c r="C15" s="25" t="n">
        <v>42000</v>
      </c>
      <c r="D15" s="25" t="n">
        <v>37300</v>
      </c>
      <c r="E15" s="26" t="n">
        <f aca="false">D15-C15</f>
        <v>-4700</v>
      </c>
      <c r="F15" s="8" t="n">
        <f aca="false">IFERROR(D15/C15,0)</f>
        <v>0.888095238095238</v>
      </c>
      <c r="G15" s="17" t="n">
        <v>12</v>
      </c>
      <c r="H15" s="21" t="n">
        <f aca="false">IFERROR(D15/G15,0)</f>
        <v>3108.33333333333</v>
      </c>
    </row>
    <row r="16" customFormat="false" ht="15" hidden="false" customHeight="false" outlineLevel="0" collapsed="false">
      <c r="A16" s="19" t="n">
        <v>46303</v>
      </c>
      <c r="B16" s="17" t="s">
        <v>23</v>
      </c>
      <c r="C16" s="25" t="n">
        <v>38000</v>
      </c>
      <c r="D16" s="25" t="n">
        <v>36300</v>
      </c>
      <c r="E16" s="26" t="n">
        <f aca="false">D16-C16</f>
        <v>-1700</v>
      </c>
      <c r="F16" s="8" t="n">
        <f aca="false">IFERROR(D16/C16,0)</f>
        <v>0.955263157894737</v>
      </c>
      <c r="G16" s="17" t="n">
        <v>9</v>
      </c>
      <c r="H16" s="21" t="n">
        <f aca="false">IFERROR(D16/G16,0)</f>
        <v>4033.33333333333</v>
      </c>
    </row>
    <row r="17" customFormat="false" ht="15" hidden="false" customHeight="false" outlineLevel="0" collapsed="false">
      <c r="A17" s="19" t="n">
        <v>46304</v>
      </c>
      <c r="B17" s="17" t="s">
        <v>21</v>
      </c>
      <c r="C17" s="25" t="n">
        <v>42000</v>
      </c>
      <c r="D17" s="25" t="n">
        <v>35500</v>
      </c>
      <c r="E17" s="26" t="n">
        <f aca="false">D17-C17</f>
        <v>-6500</v>
      </c>
      <c r="F17" s="8" t="n">
        <f aca="false">IFERROR(D17/C17,0)</f>
        <v>0.845238095238095</v>
      </c>
      <c r="G17" s="17" t="n">
        <v>12</v>
      </c>
      <c r="H17" s="21" t="n">
        <f aca="false">IFERROR(D17/G17,0)</f>
        <v>2958.33333333333</v>
      </c>
    </row>
    <row r="18" customFormat="false" ht="15" hidden="false" customHeight="false" outlineLevel="0" collapsed="false">
      <c r="A18" s="19" t="n">
        <v>46304</v>
      </c>
      <c r="B18" s="17" t="s">
        <v>23</v>
      </c>
      <c r="C18" s="25" t="n">
        <v>38000</v>
      </c>
      <c r="D18" s="25" t="n">
        <v>33600</v>
      </c>
      <c r="E18" s="26" t="n">
        <f aca="false">D18-C18</f>
        <v>-4400</v>
      </c>
      <c r="F18" s="8" t="n">
        <f aca="false">IFERROR(D18/C18,0)</f>
        <v>0.884210526315789</v>
      </c>
      <c r="G18" s="17" t="n">
        <v>9</v>
      </c>
      <c r="H18" s="21" t="n">
        <f aca="false">IFERROR(D18/G18,0)</f>
        <v>3733.33333333333</v>
      </c>
    </row>
    <row r="19" customFormat="false" ht="15" hidden="false" customHeight="false" outlineLevel="0" collapsed="false">
      <c r="A19" s="19" t="n">
        <v>46307</v>
      </c>
      <c r="B19" s="17" t="s">
        <v>21</v>
      </c>
      <c r="C19" s="25" t="n">
        <v>42000</v>
      </c>
      <c r="D19" s="25" t="n">
        <v>41500</v>
      </c>
      <c r="E19" s="26" t="n">
        <f aca="false">D19-C19</f>
        <v>-500</v>
      </c>
      <c r="F19" s="8" t="n">
        <f aca="false">IFERROR(D19/C19,0)</f>
        <v>0.988095238095238</v>
      </c>
      <c r="G19" s="17" t="n">
        <v>12</v>
      </c>
      <c r="H19" s="21" t="n">
        <f aca="false">IFERROR(D19/G19,0)</f>
        <v>3458.33333333333</v>
      </c>
    </row>
    <row r="20" customFormat="false" ht="15" hidden="false" customHeight="false" outlineLevel="0" collapsed="false">
      <c r="A20" s="19" t="n">
        <v>46307</v>
      </c>
      <c r="B20" s="17" t="s">
        <v>23</v>
      </c>
      <c r="C20" s="25" t="n">
        <v>38000</v>
      </c>
      <c r="D20" s="25" t="n">
        <v>36600</v>
      </c>
      <c r="E20" s="26" t="n">
        <f aca="false">D20-C20</f>
        <v>-1400</v>
      </c>
      <c r="F20" s="8" t="n">
        <f aca="false">IFERROR(D20/C20,0)</f>
        <v>0.963157894736842</v>
      </c>
      <c r="G20" s="17" t="n">
        <v>9</v>
      </c>
      <c r="H20" s="21" t="n">
        <f aca="false">IFERROR(D20/G20,0)</f>
        <v>4066.66666666667</v>
      </c>
    </row>
    <row r="21" customFormat="false" ht="15" hidden="false" customHeight="false" outlineLevel="0" collapsed="false">
      <c r="A21" s="19" t="n">
        <v>46308</v>
      </c>
      <c r="B21" s="17" t="s">
        <v>21</v>
      </c>
      <c r="C21" s="25" t="n">
        <v>42000</v>
      </c>
      <c r="D21" s="25" t="n">
        <v>37400</v>
      </c>
      <c r="E21" s="26" t="n">
        <f aca="false">D21-C21</f>
        <v>-4600</v>
      </c>
      <c r="F21" s="8" t="n">
        <f aca="false">IFERROR(D21/C21,0)</f>
        <v>0.89047619047619</v>
      </c>
      <c r="G21" s="17" t="n">
        <v>12</v>
      </c>
      <c r="H21" s="21" t="n">
        <f aca="false">IFERROR(D21/G21,0)</f>
        <v>3116.66666666667</v>
      </c>
    </row>
    <row r="22" customFormat="false" ht="15" hidden="false" customHeight="false" outlineLevel="0" collapsed="false">
      <c r="A22" s="19" t="n">
        <v>46308</v>
      </c>
      <c r="B22" s="17" t="s">
        <v>23</v>
      </c>
      <c r="C22" s="25" t="n">
        <v>38000</v>
      </c>
      <c r="D22" s="25" t="n">
        <v>37000</v>
      </c>
      <c r="E22" s="26" t="n">
        <f aca="false">D22-C22</f>
        <v>-1000</v>
      </c>
      <c r="F22" s="8" t="n">
        <f aca="false">IFERROR(D22/C22,0)</f>
        <v>0.973684210526316</v>
      </c>
      <c r="G22" s="17" t="n">
        <v>9</v>
      </c>
      <c r="H22" s="21" t="n">
        <f aca="false">IFERROR(D22/G22,0)</f>
        <v>4111.11111111111</v>
      </c>
    </row>
    <row r="23" customFormat="false" ht="15" hidden="false" customHeight="false" outlineLevel="0" collapsed="false">
      <c r="A23" s="19" t="n">
        <v>46309</v>
      </c>
      <c r="B23" s="17" t="s">
        <v>21</v>
      </c>
      <c r="C23" s="25" t="n">
        <v>42000</v>
      </c>
      <c r="D23" s="25" t="n">
        <v>43000</v>
      </c>
      <c r="E23" s="26" t="n">
        <f aca="false">D23-C23</f>
        <v>1000</v>
      </c>
      <c r="F23" s="8" t="n">
        <f aca="false">IFERROR(D23/C23,0)</f>
        <v>1.02380952380952</v>
      </c>
      <c r="G23" s="17" t="n">
        <v>12</v>
      </c>
      <c r="H23" s="21" t="n">
        <f aca="false">IFERROR(D23/G23,0)</f>
        <v>3583.33333333333</v>
      </c>
    </row>
    <row r="24" customFormat="false" ht="15" hidden="false" customHeight="false" outlineLevel="0" collapsed="false">
      <c r="A24" s="19" t="n">
        <v>46309</v>
      </c>
      <c r="B24" s="17" t="s">
        <v>23</v>
      </c>
      <c r="C24" s="25" t="n">
        <v>38000</v>
      </c>
      <c r="D24" s="25" t="n">
        <v>31900</v>
      </c>
      <c r="E24" s="26" t="n">
        <f aca="false">D24-C24</f>
        <v>-6100</v>
      </c>
      <c r="F24" s="8" t="n">
        <f aca="false">IFERROR(D24/C24,0)</f>
        <v>0.839473684210526</v>
      </c>
      <c r="G24" s="17" t="n">
        <v>9</v>
      </c>
      <c r="H24" s="21" t="n">
        <f aca="false">IFERROR(D24/G24,0)</f>
        <v>3544.44444444444</v>
      </c>
    </row>
    <row r="25" customFormat="false" ht="15" hidden="false" customHeight="false" outlineLevel="0" collapsed="false">
      <c r="A25" s="19" t="n">
        <v>46310</v>
      </c>
      <c r="B25" s="17" t="s">
        <v>21</v>
      </c>
      <c r="C25" s="25" t="n">
        <v>42000</v>
      </c>
      <c r="D25" s="25" t="n">
        <v>43000</v>
      </c>
      <c r="E25" s="26" t="n">
        <f aca="false">D25-C25</f>
        <v>1000</v>
      </c>
      <c r="F25" s="8" t="n">
        <f aca="false">IFERROR(D25/C25,0)</f>
        <v>1.02380952380952</v>
      </c>
      <c r="G25" s="17" t="n">
        <v>12</v>
      </c>
      <c r="H25" s="21" t="n">
        <f aca="false">IFERROR(D25/G25,0)</f>
        <v>3583.33333333333</v>
      </c>
    </row>
    <row r="26" customFormat="false" ht="15" hidden="false" customHeight="false" outlineLevel="0" collapsed="false">
      <c r="A26" s="19" t="n">
        <v>46310</v>
      </c>
      <c r="B26" s="17" t="s">
        <v>23</v>
      </c>
      <c r="C26" s="25" t="n">
        <v>38000</v>
      </c>
      <c r="D26" s="25" t="n">
        <v>38000</v>
      </c>
      <c r="E26" s="26" t="n">
        <f aca="false">D26-C26</f>
        <v>0</v>
      </c>
      <c r="F26" s="8" t="n">
        <f aca="false">IFERROR(D26/C26,0)</f>
        <v>1</v>
      </c>
      <c r="G26" s="17" t="n">
        <v>9</v>
      </c>
      <c r="H26" s="21" t="n">
        <f aca="false">IFERROR(D26/G26,0)</f>
        <v>4222.22222222222</v>
      </c>
    </row>
    <row r="27" customFormat="false" ht="15" hidden="false" customHeight="false" outlineLevel="0" collapsed="false">
      <c r="A27" s="19" t="n">
        <v>46311</v>
      </c>
      <c r="B27" s="17" t="s">
        <v>21</v>
      </c>
      <c r="C27" s="25" t="n">
        <v>42000</v>
      </c>
      <c r="D27" s="25" t="n">
        <v>38500</v>
      </c>
      <c r="E27" s="26" t="n">
        <f aca="false">D27-C27</f>
        <v>-3500</v>
      </c>
      <c r="F27" s="8" t="n">
        <f aca="false">IFERROR(D27/C27,0)</f>
        <v>0.916666666666667</v>
      </c>
      <c r="G27" s="17" t="n">
        <v>12</v>
      </c>
      <c r="H27" s="21" t="n">
        <f aca="false">IFERROR(D27/G27,0)</f>
        <v>3208.33333333333</v>
      </c>
    </row>
    <row r="28" customFormat="false" ht="15" hidden="false" customHeight="false" outlineLevel="0" collapsed="false">
      <c r="A28" s="19" t="n">
        <v>46311</v>
      </c>
      <c r="B28" s="17" t="s">
        <v>23</v>
      </c>
      <c r="C28" s="25" t="n">
        <v>38000</v>
      </c>
      <c r="D28" s="25" t="n">
        <v>33200</v>
      </c>
      <c r="E28" s="26" t="n">
        <f aca="false">D28-C28</f>
        <v>-4800</v>
      </c>
      <c r="F28" s="8" t="n">
        <f aca="false">IFERROR(D28/C28,0)</f>
        <v>0.873684210526316</v>
      </c>
      <c r="G28" s="17" t="n">
        <v>9</v>
      </c>
      <c r="H28" s="21" t="n">
        <f aca="false">IFERROR(D28/G28,0)</f>
        <v>3688.88888888889</v>
      </c>
    </row>
    <row r="29" customFormat="false" ht="15" hidden="false" customHeight="false" outlineLevel="0" collapsed="false">
      <c r="A29" s="19" t="n">
        <v>46314</v>
      </c>
      <c r="B29" s="17" t="s">
        <v>21</v>
      </c>
      <c r="C29" s="25" t="n">
        <v>42000</v>
      </c>
      <c r="D29" s="25" t="n">
        <v>44500</v>
      </c>
      <c r="E29" s="26" t="n">
        <f aca="false">D29-C29</f>
        <v>2500</v>
      </c>
      <c r="F29" s="8" t="n">
        <f aca="false">IFERROR(D29/C29,0)</f>
        <v>1.05952380952381</v>
      </c>
      <c r="G29" s="17" t="n">
        <v>12</v>
      </c>
      <c r="H29" s="21" t="n">
        <f aca="false">IFERROR(D29/G29,0)</f>
        <v>3708.33333333333</v>
      </c>
    </row>
    <row r="30" customFormat="false" ht="15" hidden="false" customHeight="false" outlineLevel="0" collapsed="false">
      <c r="A30" s="19" t="n">
        <v>46314</v>
      </c>
      <c r="B30" s="17" t="s">
        <v>23</v>
      </c>
      <c r="C30" s="25" t="n">
        <v>38000</v>
      </c>
      <c r="D30" s="25" t="n">
        <v>34800</v>
      </c>
      <c r="E30" s="26" t="n">
        <f aca="false">D30-C30</f>
        <v>-3200</v>
      </c>
      <c r="F30" s="8" t="n">
        <f aca="false">IFERROR(D30/C30,0)</f>
        <v>0.915789473684211</v>
      </c>
      <c r="G30" s="17" t="n">
        <v>9</v>
      </c>
      <c r="H30" s="21" t="n">
        <f aca="false">IFERROR(D30/G30,0)</f>
        <v>3866.66666666667</v>
      </c>
    </row>
    <row r="31" customFormat="false" ht="15" hidden="false" customHeight="false" outlineLevel="0" collapsed="false">
      <c r="A31" s="19" t="n">
        <v>46315</v>
      </c>
      <c r="B31" s="17" t="s">
        <v>21</v>
      </c>
      <c r="C31" s="25" t="n">
        <v>42000</v>
      </c>
      <c r="D31" s="25" t="n">
        <v>36100</v>
      </c>
      <c r="E31" s="26" t="n">
        <f aca="false">D31-C31</f>
        <v>-5900</v>
      </c>
      <c r="F31" s="8" t="n">
        <f aca="false">IFERROR(D31/C31,0)</f>
        <v>0.85952380952381</v>
      </c>
      <c r="G31" s="17" t="n">
        <v>12</v>
      </c>
      <c r="H31" s="21" t="n">
        <f aca="false">IFERROR(D31/G31,0)</f>
        <v>3008.33333333333</v>
      </c>
    </row>
    <row r="32" customFormat="false" ht="15" hidden="false" customHeight="false" outlineLevel="0" collapsed="false">
      <c r="A32" s="19" t="n">
        <v>46315</v>
      </c>
      <c r="B32" s="17" t="s">
        <v>23</v>
      </c>
      <c r="C32" s="25" t="n">
        <v>38000</v>
      </c>
      <c r="D32" s="25" t="n">
        <v>32700</v>
      </c>
      <c r="E32" s="26" t="n">
        <f aca="false">D32-C32</f>
        <v>-5300</v>
      </c>
      <c r="F32" s="8" t="n">
        <f aca="false">IFERROR(D32/C32,0)</f>
        <v>0.860526315789474</v>
      </c>
      <c r="G32" s="17" t="n">
        <v>9</v>
      </c>
      <c r="H32" s="21" t="n">
        <f aca="false">IFERROR(D32/G32,0)</f>
        <v>3633.33333333333</v>
      </c>
    </row>
    <row r="33" customFormat="false" ht="15" hidden="false" customHeight="false" outlineLevel="0" collapsed="false">
      <c r="A33" s="19" t="n">
        <v>46316</v>
      </c>
      <c r="B33" s="17" t="s">
        <v>21</v>
      </c>
      <c r="C33" s="25" t="n">
        <v>42000</v>
      </c>
      <c r="D33" s="25" t="n">
        <v>43400</v>
      </c>
      <c r="E33" s="26" t="n">
        <f aca="false">D33-C33</f>
        <v>1400</v>
      </c>
      <c r="F33" s="8" t="n">
        <f aca="false">IFERROR(D33/C33,0)</f>
        <v>1.03333333333333</v>
      </c>
      <c r="G33" s="17" t="n">
        <v>12</v>
      </c>
      <c r="H33" s="21" t="n">
        <f aca="false">IFERROR(D33/G33,0)</f>
        <v>3616.66666666667</v>
      </c>
    </row>
    <row r="34" customFormat="false" ht="15" hidden="false" customHeight="false" outlineLevel="0" collapsed="false">
      <c r="A34" s="19" t="n">
        <v>46316</v>
      </c>
      <c r="B34" s="17" t="s">
        <v>23</v>
      </c>
      <c r="C34" s="25" t="n">
        <v>38000</v>
      </c>
      <c r="D34" s="25" t="n">
        <v>37100</v>
      </c>
      <c r="E34" s="26" t="n">
        <f aca="false">D34-C34</f>
        <v>-900</v>
      </c>
      <c r="F34" s="8" t="n">
        <f aca="false">IFERROR(D34/C34,0)</f>
        <v>0.976315789473684</v>
      </c>
      <c r="G34" s="17" t="n">
        <v>9</v>
      </c>
      <c r="H34" s="21" t="n">
        <f aca="false">IFERROR(D34/G34,0)</f>
        <v>4122.22222222222</v>
      </c>
    </row>
    <row r="35" customFormat="false" ht="15" hidden="false" customHeight="false" outlineLevel="0" collapsed="false">
      <c r="A35" s="19" t="n">
        <v>46317</v>
      </c>
      <c r="B35" s="17" t="s">
        <v>21</v>
      </c>
      <c r="C35" s="25" t="n">
        <v>42000</v>
      </c>
      <c r="D35" s="25" t="n">
        <v>43000</v>
      </c>
      <c r="E35" s="26" t="n">
        <f aca="false">D35-C35</f>
        <v>1000</v>
      </c>
      <c r="F35" s="8" t="n">
        <f aca="false">IFERROR(D35/C35,0)</f>
        <v>1.02380952380952</v>
      </c>
      <c r="G35" s="17" t="n">
        <v>12</v>
      </c>
      <c r="H35" s="21" t="n">
        <f aca="false">IFERROR(D35/G35,0)</f>
        <v>3583.33333333333</v>
      </c>
    </row>
    <row r="36" customFormat="false" ht="15" hidden="false" customHeight="false" outlineLevel="0" collapsed="false">
      <c r="A36" s="19" t="n">
        <v>46317</v>
      </c>
      <c r="B36" s="17" t="s">
        <v>23</v>
      </c>
      <c r="C36" s="25" t="n">
        <v>38000</v>
      </c>
      <c r="D36" s="25" t="n">
        <v>38200</v>
      </c>
      <c r="E36" s="26" t="n">
        <f aca="false">D36-C36</f>
        <v>200</v>
      </c>
      <c r="F36" s="8" t="n">
        <f aca="false">IFERROR(D36/C36,0)</f>
        <v>1.00526315789474</v>
      </c>
      <c r="G36" s="17" t="n">
        <v>9</v>
      </c>
      <c r="H36" s="21" t="n">
        <f aca="false">IFERROR(D36/G36,0)</f>
        <v>4244.44444444444</v>
      </c>
    </row>
    <row r="37" customFormat="false" ht="15" hidden="false" customHeight="false" outlineLevel="0" collapsed="false">
      <c r="A37" s="19" t="n">
        <v>46318</v>
      </c>
      <c r="B37" s="17" t="s">
        <v>21</v>
      </c>
      <c r="C37" s="25" t="n">
        <v>42000</v>
      </c>
      <c r="D37" s="25" t="n">
        <v>40400</v>
      </c>
      <c r="E37" s="26" t="n">
        <f aca="false">D37-C37</f>
        <v>-1600</v>
      </c>
      <c r="F37" s="8" t="n">
        <f aca="false">IFERROR(D37/C37,0)</f>
        <v>0.961904761904762</v>
      </c>
      <c r="G37" s="17" t="n">
        <v>12</v>
      </c>
      <c r="H37" s="21" t="n">
        <f aca="false">IFERROR(D37/G37,0)</f>
        <v>3366.66666666667</v>
      </c>
    </row>
    <row r="38" customFormat="false" ht="15" hidden="false" customHeight="false" outlineLevel="0" collapsed="false">
      <c r="A38" s="19" t="n">
        <v>46318</v>
      </c>
      <c r="B38" s="17" t="s">
        <v>23</v>
      </c>
      <c r="C38" s="25" t="n">
        <v>38000</v>
      </c>
      <c r="D38" s="25" t="n">
        <v>40400</v>
      </c>
      <c r="E38" s="26" t="n">
        <f aca="false">D38-C38</f>
        <v>2400</v>
      </c>
      <c r="F38" s="8" t="n">
        <f aca="false">IFERROR(D38/C38,0)</f>
        <v>1.06315789473684</v>
      </c>
      <c r="G38" s="17" t="n">
        <v>9</v>
      </c>
      <c r="H38" s="21" t="n">
        <f aca="false">IFERROR(D38/G38,0)</f>
        <v>4488.88888888889</v>
      </c>
    </row>
    <row r="39" customFormat="false" ht="15" hidden="false" customHeight="false" outlineLevel="0" collapsed="false">
      <c r="A39" s="19" t="n">
        <v>46321</v>
      </c>
      <c r="B39" s="17" t="s">
        <v>21</v>
      </c>
      <c r="C39" s="25" t="n">
        <v>42000</v>
      </c>
      <c r="D39" s="25" t="n">
        <v>38900</v>
      </c>
      <c r="E39" s="26" t="n">
        <f aca="false">D39-C39</f>
        <v>-3100</v>
      </c>
      <c r="F39" s="8" t="n">
        <f aca="false">IFERROR(D39/C39,0)</f>
        <v>0.926190476190476</v>
      </c>
      <c r="G39" s="17" t="n">
        <v>12</v>
      </c>
      <c r="H39" s="21" t="n">
        <f aca="false">IFERROR(D39/G39,0)</f>
        <v>3241.66666666667</v>
      </c>
    </row>
    <row r="40" customFormat="false" ht="15" hidden="false" customHeight="false" outlineLevel="0" collapsed="false">
      <c r="A40" s="19" t="n">
        <v>46321</v>
      </c>
      <c r="B40" s="17" t="s">
        <v>23</v>
      </c>
      <c r="C40" s="25" t="n">
        <v>38000</v>
      </c>
      <c r="D40" s="25" t="n">
        <v>36700</v>
      </c>
      <c r="E40" s="26" t="n">
        <f aca="false">D40-C40</f>
        <v>-1300</v>
      </c>
      <c r="F40" s="8" t="n">
        <f aca="false">IFERROR(D40/C40,0)</f>
        <v>0.965789473684211</v>
      </c>
      <c r="G40" s="17" t="n">
        <v>9</v>
      </c>
      <c r="H40" s="21" t="n">
        <f aca="false">IFERROR(D40/G40,0)</f>
        <v>4077.77777777778</v>
      </c>
    </row>
    <row r="41" customFormat="false" ht="15" hidden="false" customHeight="false" outlineLevel="0" collapsed="false">
      <c r="A41" s="19" t="n">
        <v>46322</v>
      </c>
      <c r="B41" s="17" t="s">
        <v>21</v>
      </c>
      <c r="C41" s="25" t="n">
        <v>42000</v>
      </c>
      <c r="D41" s="25" t="n">
        <v>43200</v>
      </c>
      <c r="E41" s="26" t="n">
        <f aca="false">D41-C41</f>
        <v>1200</v>
      </c>
      <c r="F41" s="8" t="n">
        <f aca="false">IFERROR(D41/C41,0)</f>
        <v>1.02857142857143</v>
      </c>
      <c r="G41" s="17" t="n">
        <v>12</v>
      </c>
      <c r="H41" s="21" t="n">
        <f aca="false">IFERROR(D41/G41,0)</f>
        <v>3600</v>
      </c>
    </row>
    <row r="42" customFormat="false" ht="15" hidden="false" customHeight="false" outlineLevel="0" collapsed="false">
      <c r="A42" s="19" t="n">
        <v>46322</v>
      </c>
      <c r="B42" s="17" t="s">
        <v>23</v>
      </c>
      <c r="C42" s="25" t="n">
        <v>38000</v>
      </c>
      <c r="D42" s="25" t="n">
        <v>37300</v>
      </c>
      <c r="E42" s="26" t="n">
        <f aca="false">D42-C42</f>
        <v>-700</v>
      </c>
      <c r="F42" s="8" t="n">
        <f aca="false">IFERROR(D42/C42,0)</f>
        <v>0.981578947368421</v>
      </c>
      <c r="G42" s="17" t="n">
        <v>9</v>
      </c>
      <c r="H42" s="21" t="n">
        <f aca="false">IFERROR(D42/G42,0)</f>
        <v>4144.44444444444</v>
      </c>
    </row>
    <row r="43" customFormat="false" ht="15" hidden="false" customHeight="false" outlineLevel="0" collapsed="false">
      <c r="A43" s="19" t="n">
        <v>46323</v>
      </c>
      <c r="B43" s="17" t="s">
        <v>21</v>
      </c>
      <c r="C43" s="25" t="n">
        <v>42000</v>
      </c>
      <c r="D43" s="25" t="n">
        <v>43600</v>
      </c>
      <c r="E43" s="26" t="n">
        <f aca="false">D43-C43</f>
        <v>1600</v>
      </c>
      <c r="F43" s="8" t="n">
        <f aca="false">IFERROR(D43/C43,0)</f>
        <v>1.03809523809524</v>
      </c>
      <c r="G43" s="17" t="n">
        <v>12</v>
      </c>
      <c r="H43" s="21" t="n">
        <f aca="false">IFERROR(D43/G43,0)</f>
        <v>3633.33333333333</v>
      </c>
    </row>
    <row r="44" customFormat="false" ht="15" hidden="false" customHeight="false" outlineLevel="0" collapsed="false">
      <c r="A44" s="19" t="n">
        <v>46323</v>
      </c>
      <c r="B44" s="17" t="s">
        <v>23</v>
      </c>
      <c r="C44" s="25" t="n">
        <v>38000</v>
      </c>
      <c r="D44" s="25" t="n">
        <v>36900</v>
      </c>
      <c r="E44" s="26" t="n">
        <f aca="false">D44-C44</f>
        <v>-1100</v>
      </c>
      <c r="F44" s="8" t="n">
        <f aca="false">IFERROR(D44/C44,0)</f>
        <v>0.971052631578947</v>
      </c>
      <c r="G44" s="17" t="n">
        <v>9</v>
      </c>
      <c r="H44" s="21" t="n">
        <f aca="false">IFERROR(D44/G44,0)</f>
        <v>4100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8"/>
    <col collapsed="false" customWidth="true" hidden="false" outlineLevel="0" max="4" min="4" style="0" width="14"/>
    <col collapsed="false" customWidth="true" hidden="false" outlineLevel="0" max="5" min="5" style="0" width="15"/>
    <col collapsed="false" customWidth="true" hidden="false" outlineLevel="0" max="7" min="6" style="0" width="18"/>
  </cols>
  <sheetData>
    <row r="1" customFormat="false" ht="17.35" hidden="false" customHeight="false" outlineLevel="0" collapsed="false">
      <c r="A1" s="1" t="s">
        <v>73</v>
      </c>
    </row>
    <row r="3" customFormat="false" ht="15" hidden="false" customHeight="false" outlineLevel="0" collapsed="false">
      <c r="A3" s="3" t="s">
        <v>74</v>
      </c>
      <c r="B3" s="17" t="n">
        <v>0.5</v>
      </c>
      <c r="C3" s="16" t="s">
        <v>75</v>
      </c>
    </row>
    <row r="5" customFormat="false" ht="30" hidden="false" customHeight="true" outlineLevel="0" collapsed="false">
      <c r="A5" s="5" t="s">
        <v>76</v>
      </c>
      <c r="B5" s="5" t="s">
        <v>35</v>
      </c>
      <c r="C5" s="5" t="s">
        <v>77</v>
      </c>
      <c r="D5" s="5" t="s">
        <v>78</v>
      </c>
      <c r="E5" s="5" t="s">
        <v>79</v>
      </c>
      <c r="F5" s="5" t="s">
        <v>80</v>
      </c>
      <c r="G5" s="5" t="s">
        <v>81</v>
      </c>
    </row>
    <row r="6" customFormat="false" ht="15" hidden="false" customHeight="false" outlineLevel="0" collapsed="false">
      <c r="A6" s="17" t="s">
        <v>82</v>
      </c>
      <c r="B6" s="17" t="s">
        <v>45</v>
      </c>
      <c r="C6" s="17" t="n">
        <v>10</v>
      </c>
      <c r="D6" s="27" t="n">
        <v>0.65</v>
      </c>
      <c r="E6" s="28" t="n">
        <f aca="false">C6*D6</f>
        <v>6.5</v>
      </c>
      <c r="F6" s="29" t="n">
        <v>46324.2916666667</v>
      </c>
      <c r="G6" s="30" t="n">
        <f aca="false">F6+E6/24</f>
        <v>46324.5625</v>
      </c>
    </row>
    <row r="7" customFormat="false" ht="15" hidden="false" customHeight="false" outlineLevel="0" collapsed="false">
      <c r="A7" s="17" t="s">
        <v>82</v>
      </c>
      <c r="B7" s="17" t="s">
        <v>47</v>
      </c>
      <c r="C7" s="17" t="n">
        <v>8</v>
      </c>
      <c r="D7" s="27" t="n">
        <v>0.65</v>
      </c>
      <c r="E7" s="28" t="n">
        <f aca="false">C7*D7</f>
        <v>5.2</v>
      </c>
      <c r="F7" s="30" t="n">
        <f aca="false">G6+$B$3/24</f>
        <v>46324.5833333333</v>
      </c>
      <c r="G7" s="30" t="n">
        <f aca="false">F7+E7/24</f>
        <v>46324.8</v>
      </c>
    </row>
    <row r="8" customFormat="false" ht="15" hidden="false" customHeight="false" outlineLevel="0" collapsed="false">
      <c r="A8" s="17" t="s">
        <v>82</v>
      </c>
      <c r="B8" s="17" t="s">
        <v>51</v>
      </c>
      <c r="C8" s="17" t="n">
        <v>12</v>
      </c>
      <c r="D8" s="27" t="n">
        <v>0.5</v>
      </c>
      <c r="E8" s="28" t="n">
        <f aca="false">C8*D8</f>
        <v>6</v>
      </c>
      <c r="F8" s="30" t="n">
        <f aca="false">G7+$B$3/24</f>
        <v>46324.8208333333</v>
      </c>
      <c r="G8" s="30" t="n">
        <f aca="false">F8+E8/24</f>
        <v>46325.0708333333</v>
      </c>
    </row>
    <row r="9" customFormat="false" ht="15" hidden="false" customHeight="false" outlineLevel="0" collapsed="false">
      <c r="A9" s="17" t="s">
        <v>82</v>
      </c>
      <c r="B9" s="17" t="s">
        <v>60</v>
      </c>
      <c r="C9" s="17" t="n">
        <v>6</v>
      </c>
      <c r="D9" s="27" t="n">
        <v>0.8</v>
      </c>
      <c r="E9" s="28" t="n">
        <f aca="false">C9*D9</f>
        <v>4.8</v>
      </c>
      <c r="F9" s="30" t="n">
        <f aca="false">G8+$B$3/24</f>
        <v>46325.0916666667</v>
      </c>
      <c r="G9" s="30" t="n">
        <f aca="false">F9+E9/24</f>
        <v>46325.2916666667</v>
      </c>
    </row>
    <row r="10" customFormat="false" ht="15" hidden="false" customHeight="false" outlineLevel="0" collapsed="false">
      <c r="A10" s="17" t="s">
        <v>83</v>
      </c>
      <c r="B10" s="17" t="s">
        <v>48</v>
      </c>
      <c r="C10" s="17" t="n">
        <v>14</v>
      </c>
      <c r="D10" s="27" t="n">
        <v>0.6</v>
      </c>
      <c r="E10" s="28" t="n">
        <f aca="false">C10*D10</f>
        <v>8.4</v>
      </c>
      <c r="F10" s="29" t="n">
        <v>46324.2916666667</v>
      </c>
      <c r="G10" s="30" t="n">
        <f aca="false">F10+E10/24</f>
        <v>46324.6416666667</v>
      </c>
    </row>
    <row r="11" customFormat="false" ht="15" hidden="false" customHeight="false" outlineLevel="0" collapsed="false">
      <c r="A11" s="17" t="s">
        <v>83</v>
      </c>
      <c r="B11" s="17" t="s">
        <v>50</v>
      </c>
      <c r="C11" s="17" t="n">
        <v>9</v>
      </c>
      <c r="D11" s="27" t="n">
        <v>0.9</v>
      </c>
      <c r="E11" s="28" t="n">
        <f aca="false">C11*D11</f>
        <v>8.1</v>
      </c>
      <c r="F11" s="30" t="n">
        <f aca="false">G10+$B$3/24</f>
        <v>46324.6625</v>
      </c>
      <c r="G11" s="30" t="n">
        <f aca="false">F11+E11/24</f>
        <v>46325</v>
      </c>
    </row>
    <row r="12" customFormat="false" ht="15" hidden="false" customHeight="false" outlineLevel="0" collapsed="false">
      <c r="A12" s="17" t="s">
        <v>83</v>
      </c>
      <c r="B12" s="17" t="s">
        <v>56</v>
      </c>
      <c r="C12" s="17" t="n">
        <v>11</v>
      </c>
      <c r="D12" s="27" t="n">
        <v>0.55</v>
      </c>
      <c r="E12" s="28" t="n">
        <f aca="false">C12*D12</f>
        <v>6.05</v>
      </c>
      <c r="F12" s="30" t="n">
        <f aca="false">G11+$B$3/24</f>
        <v>46325.0208333333</v>
      </c>
      <c r="G12" s="30" t="n">
        <f aca="false">F12+E12/24</f>
        <v>46325.2729166667</v>
      </c>
    </row>
    <row r="13" customFormat="false" ht="15" hidden="false" customHeight="false" outlineLevel="0" collapsed="false">
      <c r="A13" s="17" t="s">
        <v>83</v>
      </c>
      <c r="B13" s="17" t="s">
        <v>57</v>
      </c>
      <c r="C13" s="17" t="n">
        <v>7</v>
      </c>
      <c r="D13" s="27" t="n">
        <v>0.7</v>
      </c>
      <c r="E13" s="28" t="n">
        <f aca="false">C13*D13</f>
        <v>4.9</v>
      </c>
      <c r="F13" s="30" t="n">
        <f aca="false">G12+$B$3/24</f>
        <v>46325.29375</v>
      </c>
      <c r="G13" s="30" t="n">
        <f aca="false">F13+E13/24</f>
        <v>46325.4979166667</v>
      </c>
    </row>
    <row r="14" customFormat="false" ht="15" hidden="false" customHeight="false" outlineLevel="0" collapsed="false">
      <c r="A14" s="17" t="s">
        <v>84</v>
      </c>
      <c r="B14" s="17" t="s">
        <v>53</v>
      </c>
      <c r="C14" s="17" t="n">
        <v>20</v>
      </c>
      <c r="D14" s="27" t="n">
        <v>0.35</v>
      </c>
      <c r="E14" s="28" t="n">
        <f aca="false">C14*D14</f>
        <v>7</v>
      </c>
      <c r="F14" s="29" t="n">
        <v>46324.2916666667</v>
      </c>
      <c r="G14" s="30" t="n">
        <f aca="false">F14+E14/24</f>
        <v>46324.5833333333</v>
      </c>
    </row>
    <row r="15" customFormat="false" ht="15" hidden="false" customHeight="false" outlineLevel="0" collapsed="false">
      <c r="A15" s="17" t="s">
        <v>84</v>
      </c>
      <c r="B15" s="17" t="s">
        <v>54</v>
      </c>
      <c r="C15" s="17" t="n">
        <v>16</v>
      </c>
      <c r="D15" s="27" t="n">
        <v>0.4</v>
      </c>
      <c r="E15" s="28" t="n">
        <f aca="false">C15*D15</f>
        <v>6.4</v>
      </c>
      <c r="F15" s="30" t="n">
        <f aca="false">G14+$B$3/24</f>
        <v>46324.6041666667</v>
      </c>
      <c r="G15" s="30" t="n">
        <f aca="false">F15+E15/24</f>
        <v>46324.8708333333</v>
      </c>
    </row>
    <row r="16" customFormat="false" ht="15" hidden="false" customHeight="false" outlineLevel="0" collapsed="false">
      <c r="A16" s="17" t="s">
        <v>84</v>
      </c>
      <c r="B16" s="17" t="s">
        <v>59</v>
      </c>
      <c r="C16" s="17" t="n">
        <v>18</v>
      </c>
      <c r="D16" s="27" t="n">
        <v>0.3</v>
      </c>
      <c r="E16" s="28" t="n">
        <f aca="false">C16*D16</f>
        <v>5.4</v>
      </c>
      <c r="F16" s="30" t="n">
        <f aca="false">G15+$B$3/24</f>
        <v>46324.8916666667</v>
      </c>
      <c r="G16" s="30" t="n">
        <f aca="false">F16+E16/24</f>
        <v>46325.1166666667</v>
      </c>
    </row>
    <row r="17" customFormat="false" ht="15" hidden="false" customHeight="false" outlineLevel="0" collapsed="false">
      <c r="A17" s="17" t="s">
        <v>84</v>
      </c>
      <c r="B17" s="17" t="s">
        <v>62</v>
      </c>
      <c r="C17" s="17" t="n">
        <v>12</v>
      </c>
      <c r="D17" s="27" t="n">
        <v>0.45</v>
      </c>
      <c r="E17" s="28" t="n">
        <f aca="false">C17*D17</f>
        <v>5.4</v>
      </c>
      <c r="F17" s="30" t="n">
        <f aca="false">G16+$B$3/24</f>
        <v>46325.1375</v>
      </c>
      <c r="G17" s="30" t="n">
        <f aca="false">F17+E17/24</f>
        <v>46325.3625</v>
      </c>
    </row>
    <row r="19" customFormat="false" ht="15" hidden="false" customHeight="false" outlineLevel="0" collapsed="false">
      <c r="A19" s="16" t="s"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3"/>
    <col collapsed="false" customWidth="true" hidden="false" outlineLevel="0" max="4" min="4" style="0" width="15"/>
    <col collapsed="false" customWidth="true" hidden="false" outlineLevel="0" max="5" min="5" style="0" width="17"/>
    <col collapsed="false" customWidth="true" hidden="false" outlineLevel="0" max="8" min="6" style="0" width="18"/>
  </cols>
  <sheetData>
    <row r="1" customFormat="false" ht="17.35" hidden="false" customHeight="false" outlineLevel="0" collapsed="false">
      <c r="A1" s="1" t="s">
        <v>86</v>
      </c>
    </row>
    <row r="3" customFormat="false" ht="30" hidden="false" customHeight="true" outlineLevel="0" collapsed="false">
      <c r="A3" s="5" t="s">
        <v>35</v>
      </c>
      <c r="B3" s="5" t="s">
        <v>87</v>
      </c>
      <c r="C3" s="5" t="s">
        <v>39</v>
      </c>
      <c r="D3" s="5" t="s">
        <v>88</v>
      </c>
      <c r="E3" s="5" t="s">
        <v>89</v>
      </c>
      <c r="F3" s="5" t="s">
        <v>90</v>
      </c>
      <c r="G3" s="5" t="s">
        <v>91</v>
      </c>
      <c r="H3" s="5" t="s">
        <v>92</v>
      </c>
    </row>
    <row r="4" customFormat="false" ht="15" hidden="false" customHeight="false" outlineLevel="0" collapsed="false">
      <c r="A4" s="17" t="s">
        <v>45</v>
      </c>
      <c r="B4" s="17" t="s">
        <v>93</v>
      </c>
      <c r="C4" s="20" t="n">
        <v>1200</v>
      </c>
      <c r="D4" s="20" t="n">
        <v>40</v>
      </c>
      <c r="E4" s="20" t="n">
        <v>12</v>
      </c>
      <c r="F4" s="21" t="n">
        <f aca="false">MAX(0,D4-E4)</f>
        <v>28</v>
      </c>
      <c r="G4" s="21" t="n">
        <f aca="false">F4*C4</f>
        <v>33600</v>
      </c>
      <c r="H4" s="7" t="n">
        <f aca="false">INDEX('Production Plan'!$H$7:$H$18,MATCH(A4,'Production Plan'!$A$7:$A$18,0))</f>
        <v>42</v>
      </c>
    </row>
    <row r="5" customFormat="false" ht="15" hidden="false" customHeight="false" outlineLevel="0" collapsed="false">
      <c r="A5" s="17" t="s">
        <v>47</v>
      </c>
      <c r="B5" s="17" t="s">
        <v>94</v>
      </c>
      <c r="C5" s="20" t="n">
        <v>1200</v>
      </c>
      <c r="D5" s="20" t="n">
        <v>32</v>
      </c>
      <c r="E5" s="20" t="n">
        <v>20</v>
      </c>
      <c r="F5" s="21" t="n">
        <f aca="false">MAX(0,D5-E5)</f>
        <v>12</v>
      </c>
      <c r="G5" s="21" t="n">
        <f aca="false">F5*C5</f>
        <v>14400</v>
      </c>
      <c r="H5" s="7" t="n">
        <f aca="false">INDEX('Production Plan'!$H$7:$H$18,MATCH(A5,'Production Plan'!$A$7:$A$18,0))</f>
        <v>32</v>
      </c>
    </row>
    <row r="6" customFormat="false" ht="15" hidden="false" customHeight="false" outlineLevel="0" collapsed="false">
      <c r="A6" s="17" t="s">
        <v>48</v>
      </c>
      <c r="B6" s="17" t="s">
        <v>95</v>
      </c>
      <c r="C6" s="20" t="n">
        <v>840</v>
      </c>
      <c r="D6" s="20" t="n">
        <v>30</v>
      </c>
      <c r="E6" s="20" t="n">
        <v>30</v>
      </c>
      <c r="F6" s="21" t="n">
        <f aca="false">MAX(0,D6-E6)</f>
        <v>0</v>
      </c>
      <c r="G6" s="21" t="n">
        <f aca="false">F6*C6</f>
        <v>0</v>
      </c>
      <c r="H6" s="7" t="n">
        <f aca="false">INDEX('Production Plan'!$H$7:$H$18,MATCH(A6,'Production Plan'!$A$7:$A$18,0))</f>
        <v>33</v>
      </c>
    </row>
    <row r="7" customFormat="false" ht="15" hidden="false" customHeight="false" outlineLevel="0" collapsed="false">
      <c r="A7" s="17" t="s">
        <v>50</v>
      </c>
      <c r="B7" s="17" t="s">
        <v>96</v>
      </c>
      <c r="C7" s="20" t="n">
        <v>2016</v>
      </c>
      <c r="D7" s="20" t="n">
        <v>33</v>
      </c>
      <c r="E7" s="20" t="n">
        <v>10</v>
      </c>
      <c r="F7" s="21" t="n">
        <f aca="false">MAX(0,D7-E7)</f>
        <v>23</v>
      </c>
      <c r="G7" s="21" t="n">
        <f aca="false">F7*C7</f>
        <v>46368</v>
      </c>
      <c r="H7" s="7" t="n">
        <f aca="false">INDEX('Production Plan'!$H$7:$H$18,MATCH(A7,'Production Plan'!$A$7:$A$18,0))</f>
        <v>32</v>
      </c>
    </row>
    <row r="8" customFormat="false" ht="15" hidden="false" customHeight="false" outlineLevel="0" collapsed="false">
      <c r="A8" s="17" t="s">
        <v>51</v>
      </c>
      <c r="B8" s="17" t="s">
        <v>97</v>
      </c>
      <c r="C8" s="20" t="n">
        <v>500</v>
      </c>
      <c r="D8" s="20" t="n">
        <v>31</v>
      </c>
      <c r="E8" s="20" t="n">
        <v>5</v>
      </c>
      <c r="F8" s="21" t="n">
        <f aca="false">MAX(0,D8-E8)</f>
        <v>26</v>
      </c>
      <c r="G8" s="21" t="n">
        <f aca="false">F8*C8</f>
        <v>13000</v>
      </c>
      <c r="H8" s="7" t="n">
        <f aca="false">INDEX('Production Plan'!$H$7:$H$18,MATCH(A8,'Production Plan'!$A$7:$A$18,0))</f>
        <v>31</v>
      </c>
    </row>
    <row r="9" customFormat="false" ht="15" hidden="false" customHeight="false" outlineLevel="0" collapsed="false">
      <c r="A9" s="17" t="s">
        <v>53</v>
      </c>
      <c r="B9" s="17" t="s">
        <v>98</v>
      </c>
      <c r="C9" s="20" t="n">
        <v>1600</v>
      </c>
      <c r="D9" s="20" t="n">
        <v>29</v>
      </c>
      <c r="E9" s="20" t="n">
        <v>14</v>
      </c>
      <c r="F9" s="21" t="n">
        <f aca="false">MAX(0,D9-E9)</f>
        <v>15</v>
      </c>
      <c r="G9" s="21" t="n">
        <f aca="false">F9*C9</f>
        <v>24000</v>
      </c>
      <c r="H9" s="7" t="n">
        <f aca="false">INDEX('Production Plan'!$H$7:$H$18,MATCH(A9,'Production Plan'!$A$7:$A$18,0))</f>
        <v>29</v>
      </c>
    </row>
    <row r="10" customFormat="false" ht="15" hidden="false" customHeight="false" outlineLevel="0" collapsed="false">
      <c r="A10" s="10" t="s">
        <v>63</v>
      </c>
      <c r="B10" s="10"/>
      <c r="C10" s="10"/>
      <c r="D10" s="10"/>
      <c r="E10" s="10"/>
      <c r="F10" s="11" t="n">
        <f aca="false">SUM(F4:F9)</f>
        <v>104</v>
      </c>
      <c r="G10" s="11" t="n">
        <f aca="false">SUM(G4:G9)</f>
        <v>131368</v>
      </c>
      <c r="H10" s="10"/>
    </row>
    <row r="12" customFormat="false" ht="15" hidden="false" customHeight="false" outlineLevel="0" collapsed="false">
      <c r="A12" s="16" t="s"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2026-10-29T01:11:26Z</dcterms:created>
  <dc:creator>openpyxl</dc:creator>
  <dc:description/>
  <dc:language>en-US</dc:language>
  <cp:lastModifiedBy/>
  <dcterms:modified xsi:type="dcterms:W3CDTF">2026-10-29T09:11:26Z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